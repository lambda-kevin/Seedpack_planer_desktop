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81c733a50defb/Apps/aDISCO F LENOVO 18 JuN 2021/proyectos/"/>
    </mc:Choice>
  </mc:AlternateContent>
  <xr:revisionPtr revIDLastSave="0" documentId="8_{83D7F28D-879A-47AF-B88F-196D5B87923D}" xr6:coauthVersionLast="47" xr6:coauthVersionMax="47" xr10:uidLastSave="{00000000-0000-0000-0000-000000000000}"/>
  <bookViews>
    <workbookView xWindow="-98" yWindow="-98" windowWidth="21795" windowHeight="13875" xr2:uid="{8FECD03B-97E4-47FB-A257-931921703E75}"/>
  </bookViews>
  <sheets>
    <sheet name="PRESUPUESTO JUL-SEPT" sheetId="1" r:id="rId1"/>
  </sheets>
  <calcPr calcId="191029"/>
  <pivotCaches>
    <pivotCache cacheId="4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<sst xmlns="http://schemas.openxmlformats.org/spreadsheetml/2006/main" count="704" uniqueCount="701">
  <si>
    <t>Código</t>
  </si>
  <si>
    <t>Producto Terminado</t>
  </si>
  <si>
    <t>Suma de Julio Cantidad</t>
  </si>
  <si>
    <t>Suma de Julio Valor</t>
  </si>
  <si>
    <t>Suma de Agosto Cantidad</t>
  </si>
  <si>
    <t>Suma de Agosto Valor</t>
  </si>
  <si>
    <t>Suma de Septiembre Cantidad</t>
  </si>
  <si>
    <t>Suma de Septiembre Valor</t>
  </si>
  <si>
    <t>Suma de Promedio 6M Cantidad</t>
  </si>
  <si>
    <t>Suma de Promedio 6M Valor</t>
  </si>
  <si>
    <t>AK0010S0P</t>
  </si>
  <si>
    <t>Aislador kraft</t>
  </si>
  <si>
    <t>AK0010S0PR</t>
  </si>
  <si>
    <t>Aislador kraft (R)</t>
  </si>
  <si>
    <t>AK0011S0P092</t>
  </si>
  <si>
    <t>Aislador cocorollo</t>
  </si>
  <si>
    <t>AKBOT1S0P095</t>
  </si>
  <si>
    <t>Aislador bottega</t>
  </si>
  <si>
    <t>AKEXP0E0A</t>
  </si>
  <si>
    <t>Cup sleeve</t>
  </si>
  <si>
    <t>AKLEG1S0P095</t>
  </si>
  <si>
    <t>Aislador legrand</t>
  </si>
  <si>
    <t>AKMIS1S0P115</t>
  </si>
  <si>
    <t>Aislador kraft Mistral</t>
  </si>
  <si>
    <t>AKNAT2E0PI116</t>
  </si>
  <si>
    <t>Aislador Kraft Nativos 5cm</t>
  </si>
  <si>
    <t>AKTAV1S0P095</t>
  </si>
  <si>
    <t>Aislador la tavola</t>
  </si>
  <si>
    <t>ArumAzulNal</t>
  </si>
  <si>
    <t>CAJA ARUM VITAL AZUL NAL</t>
  </si>
  <si>
    <t>ArumRosaNal</t>
  </si>
  <si>
    <t>CAJA ARUM LIFE ROSADA NAL</t>
  </si>
  <si>
    <t>BANT382P035</t>
  </si>
  <si>
    <t>BOLSA MEDIA PORCIÓN ADICIONALES PAQx100</t>
  </si>
  <si>
    <t>BAYUC1E2M009</t>
  </si>
  <si>
    <t>Bandeja arepitas con yuca y queso x 14un</t>
  </si>
  <si>
    <t>BBLMGRA0P0</t>
  </si>
  <si>
    <t>Bolsa blanca grande con manigueta</t>
  </si>
  <si>
    <t>BBLMISMED0P0</t>
  </si>
  <si>
    <t>Bolsa blanca boutique con manigueta25,5+13x33</t>
  </si>
  <si>
    <t>BBLMPEQ0P0</t>
  </si>
  <si>
    <t>Bolsa blanca pequeña con manigueta 20+12X25 C/M</t>
  </si>
  <si>
    <t>BF0010E1F023</t>
  </si>
  <si>
    <t>Bandeja formada #1 repuje sigmaplas</t>
  </si>
  <si>
    <t>BF0010E1FD</t>
  </si>
  <si>
    <t>Bandeja formada #1</t>
  </si>
  <si>
    <t>BF0010E1FI</t>
  </si>
  <si>
    <t>Bandeja formada #1 granel</t>
  </si>
  <si>
    <t>BF0030E0M</t>
  </si>
  <si>
    <t>Bandeja fruver #3 sin plastificar</t>
  </si>
  <si>
    <t>BF0030E1M</t>
  </si>
  <si>
    <t>Bandeja Fruver # 3 PX1</t>
  </si>
  <si>
    <t>BF0030E2M098</t>
  </si>
  <si>
    <t>Bandeja Fruver # 3 sancho paisa</t>
  </si>
  <si>
    <t>BF0030E2P</t>
  </si>
  <si>
    <t>Bandeja fruver #3 Granel</t>
  </si>
  <si>
    <t>BF0040E1F</t>
  </si>
  <si>
    <t>Bandeja formada #4</t>
  </si>
  <si>
    <t>BF0040E2P</t>
  </si>
  <si>
    <t>Bandeja fruver #4</t>
  </si>
  <si>
    <t>BF0060E2P</t>
  </si>
  <si>
    <t>Bandeja fruver #6</t>
  </si>
  <si>
    <t>BF0070E0M031</t>
  </si>
  <si>
    <t>Bandeja Fruver # 7 sin plastificar</t>
  </si>
  <si>
    <t>BF0070E0M077</t>
  </si>
  <si>
    <t>Bandeja Fruver # 7 3.5 alto la calera0x0</t>
  </si>
  <si>
    <t>BF0070E1F023</t>
  </si>
  <si>
    <t>Bandeja formada #7 repuje sigmaplas</t>
  </si>
  <si>
    <t>BF0070E1FD</t>
  </si>
  <si>
    <t>Bandeja formada #7</t>
  </si>
  <si>
    <t>BF0070E1FI</t>
  </si>
  <si>
    <t>Bandeja formada #7 granel</t>
  </si>
  <si>
    <t>BF0072E0M077</t>
  </si>
  <si>
    <t>Bandeja Fruver # 7 3.5 alto la calera</t>
  </si>
  <si>
    <t>BF0080E2P</t>
  </si>
  <si>
    <t>Bandeja fruver #8</t>
  </si>
  <si>
    <t>BF0130E0MI108</t>
  </si>
  <si>
    <t>Bandeja fruver 13x13 PX0</t>
  </si>
  <si>
    <t>BF0170E2PD</t>
  </si>
  <si>
    <t>Bandeja fruver #17 bolsita</t>
  </si>
  <si>
    <t>BF0170E2PI</t>
  </si>
  <si>
    <t>Bandeja fruver #17 granel</t>
  </si>
  <si>
    <t>BF08C0E1F</t>
  </si>
  <si>
    <t>BANDEJA  FORMADA Nº8C GRANEL</t>
  </si>
  <si>
    <t>BFEMP0E2M098</t>
  </si>
  <si>
    <t>Bandeja empanadas sancho paisa</t>
  </si>
  <si>
    <t>BK0170E1TI117</t>
  </si>
  <si>
    <t>Blonda # 17 Px1 Kraft Flauta E</t>
  </si>
  <si>
    <t>BKDGRA0P0</t>
  </si>
  <si>
    <t>Bolsa kraft delivery grande(31+17x42.5 cms S/M)</t>
  </si>
  <si>
    <t>BKDGRA1P0035</t>
  </si>
  <si>
    <t>Bolsa grande PCA x 300unds - ARC</t>
  </si>
  <si>
    <t>BKDMED0P0</t>
  </si>
  <si>
    <t>Bolsa kraft delivery mediana(25+17x35 cms S/M)</t>
  </si>
  <si>
    <t>BKDPEQ0P0</t>
  </si>
  <si>
    <t>Bolsa kraft delivery pequeña (20.5+12x25 cms S/M)</t>
  </si>
  <si>
    <t>BKDPEQ1P0035</t>
  </si>
  <si>
    <t>Bolsa mediana PCA x 250unds - ARC</t>
  </si>
  <si>
    <t>BKMED1P0035</t>
  </si>
  <si>
    <t>Bolsa kraft mediana C/M starbucks</t>
  </si>
  <si>
    <t>BKMGRA0P0</t>
  </si>
  <si>
    <t>Bolsa kraft grande con manigueta (31+17x42.5cms C/M)</t>
  </si>
  <si>
    <t>BKMMED0P0</t>
  </si>
  <si>
    <t>Bolsa kraft mediana con manigueta(25+17x35 cms C/M)</t>
  </si>
  <si>
    <t>BKMPEQ0P0</t>
  </si>
  <si>
    <t>Bolsa kraft pequeña con manigueta (20.5+12x25 cms C/M)</t>
  </si>
  <si>
    <t>BKPEQ1P0035</t>
  </si>
  <si>
    <t>Bolsa Kraft Pequeña C/M starbucks</t>
  </si>
  <si>
    <t>BL0210E2T098</t>
  </si>
  <si>
    <t>Blonda #21 Sancho paisa</t>
  </si>
  <si>
    <t>BO0010E1P</t>
  </si>
  <si>
    <t>BANDEJA ONDAS #1</t>
  </si>
  <si>
    <t>BO0070E1P</t>
  </si>
  <si>
    <t>BANDEJA ONDAS #7</t>
  </si>
  <si>
    <t>BP0010E1PD</t>
  </si>
  <si>
    <t>Bandeja plana #1</t>
  </si>
  <si>
    <t>BP0010E1PDMK</t>
  </si>
  <si>
    <t>Bandeja plana #1 makro</t>
  </si>
  <si>
    <t>BP0010E1PI</t>
  </si>
  <si>
    <t>Bandeja plana #1 granel</t>
  </si>
  <si>
    <t>BP0040E1P</t>
  </si>
  <si>
    <t>Bandeja plana #4</t>
  </si>
  <si>
    <t>BP0070E1PD</t>
  </si>
  <si>
    <t>Bandeja plana #7</t>
  </si>
  <si>
    <t>BP0070E1PI</t>
  </si>
  <si>
    <t>Bandeja plana #7 granel</t>
  </si>
  <si>
    <t>BP0070E1PMK</t>
  </si>
  <si>
    <t>Bandeja plana #7 makro</t>
  </si>
  <si>
    <t>BP0071E0P</t>
  </si>
  <si>
    <t>BANDEJA PLANA # 7 NAVIDAD - 1 TINTA</t>
  </si>
  <si>
    <t>BP0080E1PD</t>
  </si>
  <si>
    <t>Bandeja plana #8</t>
  </si>
  <si>
    <t>BP0080E1PI</t>
  </si>
  <si>
    <t>Bandeja plana #8 granel</t>
  </si>
  <si>
    <t>BP0080E1PMK</t>
  </si>
  <si>
    <t>Bandeja plana #8 makro</t>
  </si>
  <si>
    <t>BP0100E1PD</t>
  </si>
  <si>
    <t>Bandeja plana #10</t>
  </si>
  <si>
    <t>BP0170E0T0</t>
  </si>
  <si>
    <t>Blonda # 17 Px0</t>
  </si>
  <si>
    <t>BP0170E1T</t>
  </si>
  <si>
    <t>Blonda # 17 Px1</t>
  </si>
  <si>
    <t>BP0170E2T</t>
  </si>
  <si>
    <t>BLONDA 17 PLASTIFICADO POR AMBOS LADOS</t>
  </si>
  <si>
    <t>BP0190E2T</t>
  </si>
  <si>
    <t>BLONDA #19 PLASTIFICADA POR AMBOS LADOS</t>
  </si>
  <si>
    <t>BP0210E0T107</t>
  </si>
  <si>
    <t>Blonda #21 cm hacienda</t>
  </si>
  <si>
    <t>BP0210E2T</t>
  </si>
  <si>
    <t>BLONDA 21CM</t>
  </si>
  <si>
    <t>BP0250E1PD</t>
  </si>
  <si>
    <t>Bandeja plana #25</t>
  </si>
  <si>
    <t>BP0250E1PD106</t>
  </si>
  <si>
    <t>Bandeja plana #25 Pollo Salvaje</t>
  </si>
  <si>
    <t>BP0250E1PI</t>
  </si>
  <si>
    <t>Bandeja plana #25 granel</t>
  </si>
  <si>
    <t>BP0310E0T107</t>
  </si>
  <si>
    <t>Blonda #31 cm hacienda</t>
  </si>
  <si>
    <t>BP0400E0T107</t>
  </si>
  <si>
    <t>Blonda #40 cm hacienda</t>
  </si>
  <si>
    <t>BP1550E2T</t>
  </si>
  <si>
    <t>BLONDA 15,5 PLASTIFICADO POR AMBOS LADOS</t>
  </si>
  <si>
    <t>BP17B0E0T0109</t>
  </si>
  <si>
    <t>Blonda 17B PX0 Obleas JL</t>
  </si>
  <si>
    <t>BP1851E2P</t>
  </si>
  <si>
    <t>Bandeja 18.5x10x2 Sary PX2 IMPRESO</t>
  </si>
  <si>
    <t>BPCRE3E2PR009</t>
  </si>
  <si>
    <t>Bandeja arepita con queso doble cremax10unds(masma</t>
  </si>
  <si>
    <t>BPEX40E1P</t>
  </si>
  <si>
    <t>TRAY # 4</t>
  </si>
  <si>
    <t>BPEX70E1P</t>
  </si>
  <si>
    <t>TRAY # 7</t>
  </si>
  <si>
    <t>BPEX80E1P</t>
  </si>
  <si>
    <t>TRAY # 8</t>
  </si>
  <si>
    <t>BR120E0TI109</t>
  </si>
  <si>
    <t>BLONDA #12 PX0 OBLEAS JL</t>
  </si>
  <si>
    <t>BR1254B0TI109</t>
  </si>
  <si>
    <t>BLONDA #12,5 PX0 IMPRESA OBLEAS JL</t>
  </si>
  <si>
    <t>CA0C10E1P</t>
  </si>
  <si>
    <t>Contenedor C1 tapa alta</t>
  </si>
  <si>
    <t>CA0C12E1P008</t>
  </si>
  <si>
    <t>CONTENEDOR C1 TA HOTWINGS</t>
  </si>
  <si>
    <t>CA0P10E1P</t>
  </si>
  <si>
    <t>CONTENEDOR P1 TAPA ALTA</t>
  </si>
  <si>
    <t>CA0P11E1P021</t>
  </si>
  <si>
    <t>CONTENEDOR P1 TA ZUANA</t>
  </si>
  <si>
    <t>CA0P12E1P008</t>
  </si>
  <si>
    <t>CONTENEDOR P1 TA HOTWINGS</t>
  </si>
  <si>
    <t>CA0P20E1P</t>
  </si>
  <si>
    <t>CONTENEDOR P2 TAPA ALTA</t>
  </si>
  <si>
    <t>CA10000E1P</t>
  </si>
  <si>
    <t>CONTENEDOR 1000GR TAPA ALTA</t>
  </si>
  <si>
    <t>CA2741E0A104</t>
  </si>
  <si>
    <t>Caja pizza 27x27x4.5 cm makro</t>
  </si>
  <si>
    <t>CA30101E0A064BGK</t>
  </si>
  <si>
    <t>Caja BG/K 30x30x10 - Maxi pastel</t>
  </si>
  <si>
    <t>CA34111E0A064BGK</t>
  </si>
  <si>
    <t>Caja BG/K 34x34x11 - Maxi pastel</t>
  </si>
  <si>
    <t>CA3651E0A104</t>
  </si>
  <si>
    <t>Caja pizza  36x36x5 cm makro</t>
  </si>
  <si>
    <t>CABA40PORC</t>
  </si>
  <si>
    <t>CAJA TORTA PORCION PERSONAL</t>
  </si>
  <si>
    <t>CABA562516</t>
  </si>
  <si>
    <t>CAJA TORTA RECTANGULAR 25X16</t>
  </si>
  <si>
    <t>CABA562610</t>
  </si>
  <si>
    <t>Caja torta 26X26X10</t>
  </si>
  <si>
    <t>CABA563010</t>
  </si>
  <si>
    <t>CAJA TORTA 30X30X10</t>
  </si>
  <si>
    <t>CABEL0E0A067</t>
  </si>
  <si>
    <t>Caja Bel Skin 0X0</t>
  </si>
  <si>
    <t>CABEL0E1AV067</t>
  </si>
  <si>
    <t>Caja bel skin PX1</t>
  </si>
  <si>
    <t>CABELC13E1M103</t>
  </si>
  <si>
    <t>Contenedor C1 TA Belga</t>
  </si>
  <si>
    <t>CABELP13E1M103</t>
  </si>
  <si>
    <t>Contenedor P1 TA Belga</t>
  </si>
  <si>
    <t>CADEL23M1MBG</t>
  </si>
  <si>
    <t>Caja delivery beige 23 onz</t>
  </si>
  <si>
    <t>CADEL64M1MK</t>
  </si>
  <si>
    <t>Caja delivery kraft 64 onz</t>
  </si>
  <si>
    <t>CAFRE1E1P043</t>
  </si>
  <si>
    <t>Contenedor fresas tapa alta</t>
  </si>
  <si>
    <t>CAGRA0E0A</t>
  </si>
  <si>
    <t>Caja regalo beige grande</t>
  </si>
  <si>
    <t>CAMAL1E0P030</t>
  </si>
  <si>
    <t>Caja maletin multipack 1 tinta (ARTE NUE</t>
  </si>
  <si>
    <t>CAMED0E0A</t>
  </si>
  <si>
    <t>Caja regalo beige mediana</t>
  </si>
  <si>
    <t>CAMUL0E0A099</t>
  </si>
  <si>
    <t>Caja Refrigerio Multivasos</t>
  </si>
  <si>
    <t>CAPEQ0E0A</t>
  </si>
  <si>
    <t>Caja regalo beige pequeña</t>
  </si>
  <si>
    <t>CASHI0E1P</t>
  </si>
  <si>
    <t>CONTENEDOR SUSHI TAPA ALTA</t>
  </si>
  <si>
    <t>CAWOK026Z1MK</t>
  </si>
  <si>
    <t>Caja wok kraft 26onz</t>
  </si>
  <si>
    <t>CCBCP1E1TV111</t>
  </si>
  <si>
    <t>Contenedor armable brosty cuarto de poll</t>
  </si>
  <si>
    <t>CCBEL0E1AV067</t>
  </si>
  <si>
    <t>Caja regalo beige mediana PX1</t>
  </si>
  <si>
    <t>CCBMP1E1TV111</t>
  </si>
  <si>
    <t>Contenedor armable brosty medio pollo</t>
  </si>
  <si>
    <t>CCBPE1E1TV111</t>
  </si>
  <si>
    <t>Contenedor armable brosty entero</t>
  </si>
  <si>
    <t>CCBPP1E1TV111</t>
  </si>
  <si>
    <t>Contenedor armable brosty pollo pequeño</t>
  </si>
  <si>
    <t>CCNAV1E1TI108</t>
  </si>
  <si>
    <t>CAJA CANASTA NAVIDAD - GREEN &amp; FRESH</t>
  </si>
  <si>
    <t>CCTEM1E1TI108</t>
  </si>
  <si>
    <t>Caja canasta temporadas</t>
  </si>
  <si>
    <t>CJ3151E0A091</t>
  </si>
  <si>
    <t>CAJA PIZZA 31x31x5 MAXIMO</t>
  </si>
  <si>
    <t>CJAIR1E0A049</t>
  </si>
  <si>
    <t>Caja de pizza pequeña Aire Romero</t>
  </si>
  <si>
    <t>CJLEB1E0A</t>
  </si>
  <si>
    <t>Caja pizza legrand</t>
  </si>
  <si>
    <t>CJROG1E0T</t>
  </si>
  <si>
    <t>CAJA PIZZA ROMERO GRANDE</t>
  </si>
  <si>
    <t>CJROP1E0T</t>
  </si>
  <si>
    <t>CAJA PIZZA ROMERO PEQUEÑA</t>
  </si>
  <si>
    <t>CJVIT1E0A</t>
  </si>
  <si>
    <t>Caja pizza vito</t>
  </si>
  <si>
    <t>CKCER1E0PV110</t>
  </si>
  <si>
    <t>CAJA 1 CERVEZA 3 COPAS + PARRILLA</t>
  </si>
  <si>
    <t>CP0011E0AI095</t>
  </si>
  <si>
    <t>Caja pizza la tavola</t>
  </si>
  <si>
    <t>CP0021E0AI095</t>
  </si>
  <si>
    <t>Caja pizza la tavola pasta y vino</t>
  </si>
  <si>
    <t>CP0031E0AI095</t>
  </si>
  <si>
    <t>Caja pizza la tavola invecchia</t>
  </si>
  <si>
    <t>CP0281E1AV086</t>
  </si>
  <si>
    <t>Caja micro sandupa 28x28x15</t>
  </si>
  <si>
    <t>CP0C10E1M</t>
  </si>
  <si>
    <t>CONTENEDOR C1 TAPA PLANA</t>
  </si>
  <si>
    <t>CP0C10E1M035</t>
  </si>
  <si>
    <t>Contenedor C1 TP Archies</t>
  </si>
  <si>
    <t>CP0C10E1M079</t>
  </si>
  <si>
    <t>Contenedor C1 TP-Kive</t>
  </si>
  <si>
    <t>CP0C10E1M082</t>
  </si>
  <si>
    <t>Contenedor C1 TP Big Boy</t>
  </si>
  <si>
    <t>CP0C10E1M104</t>
  </si>
  <si>
    <t>CONTENEDOR C1 TAPA PLANA MAKRO</t>
  </si>
  <si>
    <t>CP0C11E1M001</t>
  </si>
  <si>
    <t>Contenedor C1 TP EL CORREO</t>
  </si>
  <si>
    <t>CP0C11E1M004</t>
  </si>
  <si>
    <t>Contenedor C1 TP SPORTWINGS(nuevo)</t>
  </si>
  <si>
    <t>CP0P10E1M</t>
  </si>
  <si>
    <t>CONTENEDOR P1 TAPA PLANA</t>
  </si>
  <si>
    <t>CP0P10E1M035</t>
  </si>
  <si>
    <t>Contenedor P1 TP Archies</t>
  </si>
  <si>
    <t>CP0P10E1M079</t>
  </si>
  <si>
    <t>Contenedor P1 TP-Kive</t>
  </si>
  <si>
    <t>CP0P10E1M082</t>
  </si>
  <si>
    <t>Contenedor P1 TP Big Boy</t>
  </si>
  <si>
    <t>CP0P10E1M104</t>
  </si>
  <si>
    <t>CONTENEDOR P1 TAPA PLANA MAKRO</t>
  </si>
  <si>
    <t>CP0P11E1M001</t>
  </si>
  <si>
    <t>Contenedor P1 TP EL CORREO</t>
  </si>
  <si>
    <t>CP0P11E1M004</t>
  </si>
  <si>
    <t>Contenedor P1 TP SPORTWINGS(nuevo)</t>
  </si>
  <si>
    <t>CP0P11E1M049</t>
  </si>
  <si>
    <t>Contenedor P1 TP AGCINCO</t>
  </si>
  <si>
    <t>CP0P11E1M049R</t>
  </si>
  <si>
    <t>Contenedor P1 TP AIRE ROMERO</t>
  </si>
  <si>
    <t>CP0P12E1M004</t>
  </si>
  <si>
    <t>CONTENEDOR P1 TP SPORTWINGS</t>
  </si>
  <si>
    <t>CP0P20E1M</t>
  </si>
  <si>
    <t>CONTENEDOR P2 TAPA PLANA</t>
  </si>
  <si>
    <t>CP0P31E1M049</t>
  </si>
  <si>
    <t>Contenedor P3 TP AGCINCO</t>
  </si>
  <si>
    <t>CP10000E1P</t>
  </si>
  <si>
    <t>CONTENEDOR 1000GR TAPA PLANA</t>
  </si>
  <si>
    <t>CP6000E1P</t>
  </si>
  <si>
    <t>CONTENEDOR 600GR TAPA PLANA</t>
  </si>
  <si>
    <t>CP6000E1P035</t>
  </si>
  <si>
    <t>Contenedor 600gr TP Archies</t>
  </si>
  <si>
    <t>CP6001E1M084</t>
  </si>
  <si>
    <t>Contenedor 600gr TP Carnivoro</t>
  </si>
  <si>
    <t>CP7500E1P</t>
  </si>
  <si>
    <t>CONTENEDOR 750GR TAPA PLANA</t>
  </si>
  <si>
    <t>CPARE2E1PI098</t>
  </si>
  <si>
    <t>Contenedor arepa sancho paisa</t>
  </si>
  <si>
    <t>CPCHI0E1P060</t>
  </si>
  <si>
    <t>Contenedor tapa plana chicharrón sin imp</t>
  </si>
  <si>
    <t>CPCHU2E1PI098</t>
  </si>
  <si>
    <t>Contenedor chuzo sancho paisa</t>
  </si>
  <si>
    <t>CPEARC111035</t>
  </si>
  <si>
    <t>Contenedor C1 TP starbucks PL</t>
  </si>
  <si>
    <t>CPEXT0E1P</t>
  </si>
  <si>
    <t>CONTENEDOR EXTRAGRANDE</t>
  </si>
  <si>
    <t>CPMED1E1A101</t>
  </si>
  <si>
    <t>CT10002E1PI098</t>
  </si>
  <si>
    <t>Contenedor 1000 gr TP sancho paisa</t>
  </si>
  <si>
    <t>FCIBE1P0T108</t>
  </si>
  <si>
    <t>Funda caja canasta temporadas</t>
  </si>
  <si>
    <t>FLETE</t>
  </si>
  <si>
    <t>FLETE FLETE VENTAS</t>
  </si>
  <si>
    <t>LL2530ANT</t>
  </si>
  <si>
    <t>PAPEL DE HORNEO SIN IMPRESIÓN (25X30)</t>
  </si>
  <si>
    <t>LL4363ANT112</t>
  </si>
  <si>
    <t>Papel antigraso sin impresion 43x63</t>
  </si>
  <si>
    <t>LMEBBB70100</t>
  </si>
  <si>
    <t>Lamina microcorrugada E B/B/B 70x100</t>
  </si>
  <si>
    <t>LMEBBB7043</t>
  </si>
  <si>
    <t>Lamina microcorrugada E B/B/B 70x43</t>
  </si>
  <si>
    <t>LMEBBB9050</t>
  </si>
  <si>
    <t>Lamina microcorrugada E B/B/B 90x50</t>
  </si>
  <si>
    <t>LMEKKK10070</t>
  </si>
  <si>
    <t>Lamina microcorrugada E K/K/K 100x70</t>
  </si>
  <si>
    <t>LMEKKK10560</t>
  </si>
  <si>
    <t>Lamina microcorrugada E K/K/K 105x60</t>
  </si>
  <si>
    <t>LMEKKK114100</t>
  </si>
  <si>
    <t>Lamina microcorrugada E K/K/K 114x100</t>
  </si>
  <si>
    <t>LMEKKK2531</t>
  </si>
  <si>
    <t>Lamina microcorrugada E K/K/K 25x31</t>
  </si>
  <si>
    <t>LMEKKK4569</t>
  </si>
  <si>
    <t>Lamina microcorrugada E K/K/K 45x69</t>
  </si>
  <si>
    <t>LMEKKK52815</t>
  </si>
  <si>
    <t>Lamina microcorrugada E K/K/K 52x81,5</t>
  </si>
  <si>
    <t>LMEKKK54835</t>
  </si>
  <si>
    <t>Lamina microcorrugada E K/K/K 54x83,5</t>
  </si>
  <si>
    <t>LMEKKK60100</t>
  </si>
  <si>
    <t>Lamina microcorrugada E K/K/K 60x100</t>
  </si>
  <si>
    <t>LMEKKK6286</t>
  </si>
  <si>
    <t>Lamina microcorrugada E K/K/K 62x86</t>
  </si>
  <si>
    <t>LMEKKK6478</t>
  </si>
  <si>
    <t>Lamina microcorrugada E K/K/K 64x78</t>
  </si>
  <si>
    <t>LMEKKK6949</t>
  </si>
  <si>
    <t>Lamina microcorrugada E K/K/K 69x49</t>
  </si>
  <si>
    <t>LMEKKK70100</t>
  </si>
  <si>
    <t>Lamina microcorrugada E K/K/K 70x100</t>
  </si>
  <si>
    <t>LMEKKK7062</t>
  </si>
  <si>
    <t>Lamina microcorrugada E K/K/K 70x62</t>
  </si>
  <si>
    <t>LMEKKK745685</t>
  </si>
  <si>
    <t>Lamina microcorrugada E K/K/K 74,5x68,5</t>
  </si>
  <si>
    <t>LMEKKK7572</t>
  </si>
  <si>
    <t>Lamina microcorrugada E K/K/K 75x72</t>
  </si>
  <si>
    <t>NO DEFINIDO</t>
  </si>
  <si>
    <t>OIEST00000118</t>
  </si>
  <si>
    <t>Estibas malas y retales de madera</t>
  </si>
  <si>
    <t>OTROS</t>
  </si>
  <si>
    <t>Otros</t>
  </si>
  <si>
    <t>PC0100E0MD</t>
  </si>
  <si>
    <t>Plato cuadrado 10x10(D)</t>
  </si>
  <si>
    <t>PC0101E1M</t>
  </si>
  <si>
    <t>Plato cuadrado 10x10</t>
  </si>
  <si>
    <t>PC0150E0MD</t>
  </si>
  <si>
    <t>Plato cuadrado 15x15 (D)</t>
  </si>
  <si>
    <t>PC0200E0MD</t>
  </si>
  <si>
    <t>Plato cuadrado 20x20 (D)</t>
  </si>
  <si>
    <t>PC0250E0MD</t>
  </si>
  <si>
    <t>Plato cuadrado 25x25 (D)</t>
  </si>
  <si>
    <t>PCEX101E1M</t>
  </si>
  <si>
    <t>SQUARE PLATE 4x4in</t>
  </si>
  <si>
    <t>PCEX151E1M</t>
  </si>
  <si>
    <t>SQUARE PLATE 6x6in</t>
  </si>
  <si>
    <t>PCEX201E1M</t>
  </si>
  <si>
    <t>SQUARE PLATE 8x8in</t>
  </si>
  <si>
    <t>PCEX251E1M</t>
  </si>
  <si>
    <t>SQUARE PLATE 10x10in</t>
  </si>
  <si>
    <t>PCEX7501E1M</t>
  </si>
  <si>
    <t>TAKE-OUT CONTAINER 750</t>
  </si>
  <si>
    <t>PCEXC11E1M</t>
  </si>
  <si>
    <t>TAKE-OUT CONTAINER C1</t>
  </si>
  <si>
    <t>PCEXP11E1M</t>
  </si>
  <si>
    <t>TAKE-OUT CONTAINER P1</t>
  </si>
  <si>
    <t>PCHOR100AI035</t>
  </si>
  <si>
    <t>Papel antigraso Starbucks</t>
  </si>
  <si>
    <t>PCK23140E0A030</t>
  </si>
  <si>
    <t>PORTA CALIENTE KRAFT 23,5X14,7</t>
  </si>
  <si>
    <t>PFEXS121E1F</t>
  </si>
  <si>
    <t>SOUP PLATE 12 ONZ</t>
  </si>
  <si>
    <t>PFS080L1FD</t>
  </si>
  <si>
    <t>Plato sopero 8onz (D)</t>
  </si>
  <si>
    <t>PFS080L1FR</t>
  </si>
  <si>
    <t>Plato sopero 8onz (R)</t>
  </si>
  <si>
    <t>PFS161E1F</t>
  </si>
  <si>
    <t>Plato sopero 16onz</t>
  </si>
  <si>
    <t>PR0061L1F</t>
  </si>
  <si>
    <t>Plato redondo 6 in</t>
  </si>
  <si>
    <t>PR0091L1F</t>
  </si>
  <si>
    <t>Plato redondo 9 in</t>
  </si>
  <si>
    <t>PR0101L1F</t>
  </si>
  <si>
    <t>Plato redondo 10 in</t>
  </si>
  <si>
    <t>PREAR29500P1</t>
  </si>
  <si>
    <t>Parrilla contenedor P1 TP</t>
  </si>
  <si>
    <t>PVK0020E0P</t>
  </si>
  <si>
    <t>Portavasos k/k x 2 unds</t>
  </si>
  <si>
    <t>PVK0020E0P035</t>
  </si>
  <si>
    <t>Portavasos k/k x 2 unds Starbucks</t>
  </si>
  <si>
    <t>PVK0020E0PR</t>
  </si>
  <si>
    <t>Portavasos k/k x 2 unds (R)</t>
  </si>
  <si>
    <t>PVK0040E0P</t>
  </si>
  <si>
    <t>Portavasos k/k por 4 unds</t>
  </si>
  <si>
    <t>PVKEXP20E0P</t>
  </si>
  <si>
    <t>Cup drink carrier x 2</t>
  </si>
  <si>
    <t>PVKEXP40E0P</t>
  </si>
  <si>
    <t>Cup drink carrier x 4</t>
  </si>
  <si>
    <t>RI10000E1M</t>
  </si>
  <si>
    <t>Recipiente industrial 1000 gr</t>
  </si>
  <si>
    <t>RI10000E1M104</t>
  </si>
  <si>
    <t>Recipiente industrial 1000 gr makro</t>
  </si>
  <si>
    <t>RI2500E1M</t>
  </si>
  <si>
    <t>Recipiente industrial 250 gr</t>
  </si>
  <si>
    <t>RI2500E1M104</t>
  </si>
  <si>
    <t>Recipiente industrial 250 gr makro</t>
  </si>
  <si>
    <t>RI3500E1M</t>
  </si>
  <si>
    <t>Recipiente industrial 350 gr</t>
  </si>
  <si>
    <t>RI5000E1M</t>
  </si>
  <si>
    <t>Recipiente industrial 500 gr</t>
  </si>
  <si>
    <t>RI5000E1M104</t>
  </si>
  <si>
    <t>Recipiente industrial 500 gr makro</t>
  </si>
  <si>
    <t>RI5000E2P</t>
  </si>
  <si>
    <t>RECIPIENTE INDUSTRIAL 500GR PX2</t>
  </si>
  <si>
    <t>RIBEL3E1MI103</t>
  </si>
  <si>
    <t>Recipiente industrial 250gr Belga</t>
  </si>
  <si>
    <t>RIEXP2500E1M</t>
  </si>
  <si>
    <t>HIGH TRAY 250 GRS</t>
  </si>
  <si>
    <t>RIEXP5000E1M</t>
  </si>
  <si>
    <t>HIGH TRAY 500 GRS</t>
  </si>
  <si>
    <t>SA11360075</t>
  </si>
  <si>
    <t>Salseros de Papel 0.75 onz</t>
  </si>
  <si>
    <t>SA11360100</t>
  </si>
  <si>
    <t>Salseros de Papel 1 onz</t>
  </si>
  <si>
    <t>SA11360200</t>
  </si>
  <si>
    <t>Salseros de Papel 2 onz</t>
  </si>
  <si>
    <t>SA11360400</t>
  </si>
  <si>
    <t>Salseros de Papel 4 onz</t>
  </si>
  <si>
    <t>SERVCOR</t>
  </si>
  <si>
    <t>SERVICIO CORRUGADO</t>
  </si>
  <si>
    <t>SERVENC</t>
  </si>
  <si>
    <t>SERVICIO ENCOLADO</t>
  </si>
  <si>
    <t>SERVPEG</t>
  </si>
  <si>
    <t>SERVICIO PEGADO</t>
  </si>
  <si>
    <t>SERVPL</t>
  </si>
  <si>
    <t>SERVICIO PLASTIFICADO BRILLANTE</t>
  </si>
  <si>
    <t>SERVPLB</t>
  </si>
  <si>
    <t>SERVICIO PLASTIFICADO BIOLOUMAX</t>
  </si>
  <si>
    <t>SERVPLL</t>
  </si>
  <si>
    <t>SERVICIO PLASTIFICADO LECHOSO</t>
  </si>
  <si>
    <t>SERVTROQ</t>
  </si>
  <si>
    <t>SERVICIO TROQUELADO</t>
  </si>
  <si>
    <t>SF07E013137</t>
  </si>
  <si>
    <t>PARRILLA 13X13,7 B/B ILEGALE</t>
  </si>
  <si>
    <t>SFBKK445775</t>
  </si>
  <si>
    <t>Single face B K/K 44,5x77,5</t>
  </si>
  <si>
    <t>SFBKK494494</t>
  </si>
  <si>
    <t>Single Face B K/K 49,4x49,4</t>
  </si>
  <si>
    <t>SFBKK54590</t>
  </si>
  <si>
    <t>Single face B K/K 54,5X90</t>
  </si>
  <si>
    <t>SFBKK55116</t>
  </si>
  <si>
    <t>Single face B K/K 55X116</t>
  </si>
  <si>
    <t>SFBKK55905</t>
  </si>
  <si>
    <t>Single face B K/K 55X90,5</t>
  </si>
  <si>
    <t>SFBKK61795</t>
  </si>
  <si>
    <t>Single face B K/K 61x79,5</t>
  </si>
  <si>
    <t>SFBKK645108</t>
  </si>
  <si>
    <t>Single face B K/K 64,5x108</t>
  </si>
  <si>
    <t>SFBKK64845</t>
  </si>
  <si>
    <t>Single face B K/K 64x84,5</t>
  </si>
  <si>
    <t>SFBKK66605</t>
  </si>
  <si>
    <t>Single face B K/K 66X60.5</t>
  </si>
  <si>
    <t>SFBKK675116</t>
  </si>
  <si>
    <t>Single face B K/K 67.5X116</t>
  </si>
  <si>
    <t>SFBKK697595</t>
  </si>
  <si>
    <t>Single face B K/K 69,7X59,5</t>
  </si>
  <si>
    <t>SFBKK7050</t>
  </si>
  <si>
    <t>Single face B K/K 70x50</t>
  </si>
  <si>
    <t>SFBKK71771</t>
  </si>
  <si>
    <t>Single face B K/K 71x77,1</t>
  </si>
  <si>
    <t>SFBKK743597</t>
  </si>
  <si>
    <t>Single face B K/K 74,3X59,7</t>
  </si>
  <si>
    <t>SFBKK788653</t>
  </si>
  <si>
    <t>Single face B K/K 78,8X65,3</t>
  </si>
  <si>
    <t>SFBKK9057</t>
  </si>
  <si>
    <t>Single face B K/K 90x57</t>
  </si>
  <si>
    <t>SFBKK965116</t>
  </si>
  <si>
    <t>Single face B K/K 96,5X116</t>
  </si>
  <si>
    <t>SFBKK995695</t>
  </si>
  <si>
    <t>Single face B K/K 99,5x69,5</t>
  </si>
  <si>
    <t>SFCKK595995</t>
  </si>
  <si>
    <t>Single face C K/K 59,5x99,5</t>
  </si>
  <si>
    <t>SFCKK875915</t>
  </si>
  <si>
    <t>Single face C K/K 87,5x91,5</t>
  </si>
  <si>
    <t>SFCKK995695</t>
  </si>
  <si>
    <t>Single face C K/K 99,5x69,5</t>
  </si>
  <si>
    <t>SFEBB413473</t>
  </si>
  <si>
    <t>Single face E B/B 41,3x47,3</t>
  </si>
  <si>
    <t>SFEBB70100</t>
  </si>
  <si>
    <t>Single face E B/B 70x100</t>
  </si>
  <si>
    <t>SFEBB7093</t>
  </si>
  <si>
    <t>Single face E B/B 70x93</t>
  </si>
  <si>
    <t>SFEBGBG41495</t>
  </si>
  <si>
    <t>Single face E BG/BG 41x49.5</t>
  </si>
  <si>
    <t>SFEBGBG495525</t>
  </si>
  <si>
    <t>Single face E BG/BG 49.5x52.5</t>
  </si>
  <si>
    <t>SFEBK425622</t>
  </si>
  <si>
    <t>Single face E B/K 42,5x62,2</t>
  </si>
  <si>
    <t>SFEBK445345</t>
  </si>
  <si>
    <t>Single face E B/K 44,5X34,5</t>
  </si>
  <si>
    <t>SFEBK491656</t>
  </si>
  <si>
    <t>Single face E B/K 49,1x65,6</t>
  </si>
  <si>
    <t>SFEBK515355</t>
  </si>
  <si>
    <t>Single face E B/K 51,5x35,5</t>
  </si>
  <si>
    <t>SFEBK5621017</t>
  </si>
  <si>
    <t>Single face E B/K 56,2X101,7</t>
  </si>
  <si>
    <t>SFEBK643544</t>
  </si>
  <si>
    <t>Single face E B/K 64,3x54,4</t>
  </si>
  <si>
    <t>SFEBK669465</t>
  </si>
  <si>
    <t>Single face E B/K 66,9x46,5</t>
  </si>
  <si>
    <t>SFEBK768558</t>
  </si>
  <si>
    <t>Single face E B/K 76,8X55,8</t>
  </si>
  <si>
    <t>SFEBK831513</t>
  </si>
  <si>
    <t>Single face E B/K 83,1x51,3</t>
  </si>
  <si>
    <t>SFEKK10090</t>
  </si>
  <si>
    <t>Single face E K/K 100x90</t>
  </si>
  <si>
    <t>SFEKK110100</t>
  </si>
  <si>
    <t>Single face E K/K 110x100</t>
  </si>
  <si>
    <t>SFEKK3370</t>
  </si>
  <si>
    <t>Single face E K/K 33x70</t>
  </si>
  <si>
    <t>SFEKK3540</t>
  </si>
  <si>
    <t>Single face E K/K 35x40</t>
  </si>
  <si>
    <t>SFEKK3542</t>
  </si>
  <si>
    <t>Single face E K/K 35x42</t>
  </si>
  <si>
    <t>SFEKK396733</t>
  </si>
  <si>
    <t>Single face E K/K 39,6X73,3</t>
  </si>
  <si>
    <t>SFEKK402708</t>
  </si>
  <si>
    <t>Single face E K/K 40,2X70,8</t>
  </si>
  <si>
    <t>SFEKK4052</t>
  </si>
  <si>
    <t>Single face E K/K 40x52</t>
  </si>
  <si>
    <t>SFEKK4172</t>
  </si>
  <si>
    <t>Single face E K/K 41x72</t>
  </si>
  <si>
    <t>SFEKK43567</t>
  </si>
  <si>
    <t>Single face E K/K 43,5x67</t>
  </si>
  <si>
    <t>SFEKK445655</t>
  </si>
  <si>
    <t>Single face E K/K 44,5x65,5</t>
  </si>
  <si>
    <t>SFEKK4475</t>
  </si>
  <si>
    <t>Single face E K/K 44x75</t>
  </si>
  <si>
    <t>SFEKK459635</t>
  </si>
  <si>
    <t>Single face E K/K 45,9X63,5</t>
  </si>
  <si>
    <t>SFEKK483973</t>
  </si>
  <si>
    <t>Single face E K/K 48,3X97,3</t>
  </si>
  <si>
    <t>SFEKK4846</t>
  </si>
  <si>
    <t>Single face E K/K 48x46</t>
  </si>
  <si>
    <t>SFEKK4861</t>
  </si>
  <si>
    <t>Single face E K/K 48X61</t>
  </si>
  <si>
    <t>SFEKK4943</t>
  </si>
  <si>
    <t>Single face E K/K 49x43</t>
  </si>
  <si>
    <t>SFEKK49552</t>
  </si>
  <si>
    <t>Single face E K/K 49,5x52</t>
  </si>
  <si>
    <t>SFEKK49561</t>
  </si>
  <si>
    <t>Single face E K/K 49,5X61</t>
  </si>
  <si>
    <t>SFEKK495695</t>
  </si>
  <si>
    <t>Single face E K/K 49,5X69,5</t>
  </si>
  <si>
    <t>SFEKK495885</t>
  </si>
  <si>
    <t>Single face E K/K 49.5X88.5</t>
  </si>
  <si>
    <t>SFEKK5045</t>
  </si>
  <si>
    <t>Single face E K/K 50X45</t>
  </si>
  <si>
    <t>SFEKK513803</t>
  </si>
  <si>
    <t>Single face E K/K 51,3x80,3</t>
  </si>
  <si>
    <t>SFEKK515425</t>
  </si>
  <si>
    <t>Single face E K/K 51,5x42,5</t>
  </si>
  <si>
    <t>SFEKK515443</t>
  </si>
  <si>
    <t>Single face E K/K 51,5x44,3</t>
  </si>
  <si>
    <t>SFEKK5161</t>
  </si>
  <si>
    <t>Single face E K/K 51X61</t>
  </si>
  <si>
    <t>SFEKK5379</t>
  </si>
  <si>
    <t>Single face E K/K 53X79</t>
  </si>
  <si>
    <t>SFEKK5597</t>
  </si>
  <si>
    <t>Single face E K/K 55X97</t>
  </si>
  <si>
    <t>SFEKK566707</t>
  </si>
  <si>
    <t>Single face E K/K 56,6X70,7</t>
  </si>
  <si>
    <t>SFEKK571595</t>
  </si>
  <si>
    <t>Single Face E K/K 57,1x59,5</t>
  </si>
  <si>
    <t>SFEKK575625</t>
  </si>
  <si>
    <t>Single face E K/K 57,5x62,5</t>
  </si>
  <si>
    <t>SFEKK57588</t>
  </si>
  <si>
    <t>Single face E K/K 57,5X88</t>
  </si>
  <si>
    <t>SFEKK575895</t>
  </si>
  <si>
    <t>Single face E K/K 57,5x89,5</t>
  </si>
  <si>
    <t>SFEKK595715</t>
  </si>
  <si>
    <t>Single face E K/K 59,5x71,5</t>
  </si>
  <si>
    <t>SFEKK60100</t>
  </si>
  <si>
    <t>Single face E K/K 60x100</t>
  </si>
  <si>
    <t>SFEKK6049</t>
  </si>
  <si>
    <t>Single face E K/K 60X49</t>
  </si>
  <si>
    <t>SFEKK60584</t>
  </si>
  <si>
    <t>Single face E K/K 60X58,4</t>
  </si>
  <si>
    <t>SFEKK6090</t>
  </si>
  <si>
    <t>Single face E K/K 60x90</t>
  </si>
  <si>
    <t>SFEKK613753</t>
  </si>
  <si>
    <t>Single face E K/K 61,3x75,3</t>
  </si>
  <si>
    <t>SFEKK61595</t>
  </si>
  <si>
    <t>Single face E K/K 61x59,5</t>
  </si>
  <si>
    <t>SFEKK63595</t>
  </si>
  <si>
    <t>Single face E K/K 63,5x95</t>
  </si>
  <si>
    <t>SFEKK638767</t>
  </si>
  <si>
    <t>Single face E K/K 63.8x76.7</t>
  </si>
  <si>
    <t>SFEKK65592</t>
  </si>
  <si>
    <t>Single face E K/K 65,5x92</t>
  </si>
  <si>
    <t>SFEKK6590</t>
  </si>
  <si>
    <t>Single face E K/K 65x90</t>
  </si>
  <si>
    <t>SFEKK6672</t>
  </si>
  <si>
    <t>Single face E K/K 66X72</t>
  </si>
  <si>
    <t>SFEKK67542</t>
  </si>
  <si>
    <t>Single Face E K/K 67,5x42</t>
  </si>
  <si>
    <t>SFEKK6767</t>
  </si>
  <si>
    <t>Single face E K/K 67x67</t>
  </si>
  <si>
    <t>SFEKK68975</t>
  </si>
  <si>
    <t>Single face E K/K 68X97,5</t>
  </si>
  <si>
    <t>SFEKK695355</t>
  </si>
  <si>
    <t>Single face E K/K 69,5x35,5</t>
  </si>
  <si>
    <t>SFEKK69554</t>
  </si>
  <si>
    <t>Single face E K/K 69,5X54</t>
  </si>
  <si>
    <t>SFEKK69556</t>
  </si>
  <si>
    <t>Single face E K/K 69,5x56</t>
  </si>
  <si>
    <t>SFEKK695725</t>
  </si>
  <si>
    <t>Single face E K/K 69,5x72,5</t>
  </si>
  <si>
    <t>SFEKK70100</t>
  </si>
  <si>
    <t>Single face E K/K 70x100</t>
  </si>
  <si>
    <t>SFEKK7050</t>
  </si>
  <si>
    <t>Single face E K/K 70x50</t>
  </si>
  <si>
    <t>SFEKK7070</t>
  </si>
  <si>
    <t>Single face E K/K 70x70</t>
  </si>
  <si>
    <t>SFEKK7090</t>
  </si>
  <si>
    <t>Single face E K/K 70x90</t>
  </si>
  <si>
    <t>SFEKK71435</t>
  </si>
  <si>
    <t>Single face E K/K 71x43,5</t>
  </si>
  <si>
    <t>SFEKK7366</t>
  </si>
  <si>
    <t>Single face E K/K 73x66</t>
  </si>
  <si>
    <t>SFEKK745101</t>
  </si>
  <si>
    <t>Single face E K/K 74,5X101</t>
  </si>
  <si>
    <t>SFEKK795645</t>
  </si>
  <si>
    <t>Single face E K/K 79,5x64,5</t>
  </si>
  <si>
    <t>SFEKK795695</t>
  </si>
  <si>
    <t>Single face E K/K 79,5x69,5</t>
  </si>
  <si>
    <t>SFEKK79735</t>
  </si>
  <si>
    <t>Single face E K/K 79x73,5</t>
  </si>
  <si>
    <t>SFEKK85542</t>
  </si>
  <si>
    <t>Single face E K/K 85,5x42</t>
  </si>
  <si>
    <t>SFEKK892554</t>
  </si>
  <si>
    <t>Single face E K/K 89,2x55,4</t>
  </si>
  <si>
    <t>SFEKK893473</t>
  </si>
  <si>
    <t>Single face E K/K 89,3x47,3</t>
  </si>
  <si>
    <t>SFEKK895495</t>
  </si>
  <si>
    <t>Single face E K/K 89,5x49,5</t>
  </si>
  <si>
    <t>SFEKK895865</t>
  </si>
  <si>
    <t>Single face E K/K 89,5x86,5</t>
  </si>
  <si>
    <t>SFEKK90105</t>
  </si>
  <si>
    <t>Single face E K/K 90x105</t>
  </si>
  <si>
    <t>SFEKK999652</t>
  </si>
  <si>
    <t>Single face E K/K 99,9x65,2</t>
  </si>
  <si>
    <t>SPTAC0L0A030</t>
  </si>
  <si>
    <t>Separador tacos</t>
  </si>
  <si>
    <t>VTACHT</t>
  </si>
  <si>
    <t>VTACHT CHATARRA</t>
  </si>
  <si>
    <t>VTARTL</t>
  </si>
  <si>
    <t>VTARTL VENTA RETAL</t>
  </si>
  <si>
    <t>(en blanco)</t>
  </si>
  <si>
    <t>MO1751E1PI119</t>
  </si>
  <si>
    <t>MOLDE 17,5X7,5X5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</si>
</sst>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yeccion_por_comercial_cliente_ultimo_comerci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a Romero" refreshedDate="46174.61796909722" createdVersion="8" refreshedVersion="8" minRefreshableVersion="3" recordCount="1044" xr:uid="{DB1E4AEB-3228-4609-9BC4-8BFCECDCEED4}">
  <cacheSource type="worksheet">
    <worksheetSource ref="A1:Z1048576" sheet="Proyección" r:id="rId2"/>
  </cacheSource>
  <cacheFields count="26">
    <cacheField name="Comercial" numFmtId="0">
      <sharedItems containsBlank="1" count="11">
        <s v="ALEJANDRA MARIA OSORIO MONTOYA"/>
        <s v="PAULA ANDREA ROMERO TORO"/>
        <s v="JOHN WILMER PATIÑO BERDUGO"/>
        <s v="LUISA FERNANDA RAMIREZ SICACHA"/>
        <s v="CARLOS ADOLFO BELTRAN ALVARADO"/>
        <s v="E-COMMERCE  ."/>
        <s v="EMMANUEL BEDOYA URIBE"/>
        <s v="EXPORTACIÓN  ."/>
        <s v="LUISA MARCELA CASTAÑO LOAIZA"/>
        <s v="NORMA CONSTANZA URUEÑA CORTES"/>
        <m/>
      </sharedItems>
    </cacheField>
    <cacheField name="Cliente" numFmtId="0">
      <sharedItems containsBlank="1"/>
    </cacheField>
    <cacheField name="Línea" numFmtId="0">
      <sharedItems containsBlank="1"/>
    </cacheField>
    <cacheField name="Código" numFmtId="0">
      <sharedItems containsBlank="1" count="347">
        <s v="VTARTL"/>
        <s v="VTACHT"/>
        <s v="ArumAzulNal"/>
        <s v="ArumRosaNal"/>
        <s v="SFEBGBG41495"/>
        <s v="SFEBGBG495525"/>
        <s v="SERVCOR"/>
        <s v="SERVENC"/>
        <s v="SERVTROQ"/>
        <s v="SERVPEG"/>
        <s v="SFEBB413473"/>
        <s v="SFEKK396733"/>
        <s v="SFEKK483973"/>
        <s v="SFEKK513803"/>
        <s v="SFEKK613753"/>
        <s v="SFEKK893473"/>
        <s v="CAMAL1E0P030"/>
        <s v="PCK23140E0A030"/>
        <s v="SPTAC0L0A030"/>
        <s v="SFBKK71771"/>
        <s v="SFEBK425622"/>
        <s v="SFEBK445345"/>
        <s v="SFEBK491656"/>
        <s v="SFEBK515355"/>
        <s v="SFEBK5621017"/>
        <s v="SFEBK643544"/>
        <s v="SFEBK669465"/>
        <s v="SFEBK768558"/>
        <s v="SFEBK831513"/>
        <s v="SFEKK10090"/>
        <s v="SFEKK110100"/>
        <s v="SFEKK402708"/>
        <s v="SFEKK445655"/>
        <s v="SFEKK459635"/>
        <s v="SFEKK495885"/>
        <s v="SFEKK515443"/>
        <s v="SFEKK566707"/>
        <s v="SFEKK571595"/>
        <s v="SFEKK60100"/>
        <s v="SFEKK6090"/>
        <s v="SFEKK638767"/>
        <s v="SFEKK695355"/>
        <s v="SFEKK69556"/>
        <s v="SFEKK70100"/>
        <s v="SFEKK7070"/>
        <s v="SFEKK7090"/>
        <s v="SFEKK892554"/>
        <s v="SFEKK90105"/>
        <s v="SFEKK999652"/>
        <s v="OIEST00000118"/>
        <s v="LMEKKK4569"/>
        <s v="LMEKKK52815"/>
        <s v="LMEKKK54835"/>
        <s v="LMEKKK6286"/>
        <s v="LMEKKK7062"/>
        <s v="LMEKKK745685"/>
        <s v="SFBKK445775"/>
        <s v="SFBKK55116"/>
        <s v="SFBKK55905"/>
        <s v="SFBKK61795"/>
        <s v="SFBKK645108"/>
        <s v="SFBKK64845"/>
        <s v="SFBKK66605"/>
        <s v="SFBKK675116"/>
        <s v="SFBKK697595"/>
        <s v="SFBKK743597"/>
        <s v="SFBKK788653"/>
        <s v="SFBKK9057"/>
        <s v="SFBKK965116"/>
        <s v="SFBKK995695"/>
        <s v="SFCKK875915"/>
        <s v="SFCKK995695"/>
        <s v="SFEKK43567"/>
        <s v="SFEKK49552"/>
        <s v="SFEKK515425"/>
        <s v="SFEKK575625"/>
        <s v="SFEKK575895"/>
        <s v="SFEKK595715"/>
        <s v="SFEKK61595"/>
        <s v="SFEKK63595"/>
        <s v="SFEKK67542"/>
        <s v="SFEKK68975"/>
        <s v="SFEKK695725"/>
        <s v="SFEKK71435"/>
        <s v="SFEKK7366"/>
        <s v="SFEKK745101"/>
        <s v="SFEKK795645"/>
        <s v="SFEKK795695"/>
        <s v="SFEKK79735"/>
        <s v="SFEKK85542"/>
        <s v="SFEKK895495"/>
        <s v="SFEKK895865"/>
        <s v="NO DEFINIDO"/>
        <s v="OTROS"/>
        <s v="AK0010S0P"/>
        <s v="CA0P10E1P"/>
        <s v="CA0P20E1P"/>
        <s v="CA10000E1P"/>
        <s v="CP0P10E1M"/>
        <s v="CP10000E1P"/>
        <s v="CP6000E1P"/>
        <s v="RI10000E1M"/>
        <s v="RI2500E1M"/>
        <s v="RI3500E1M"/>
        <s v="RI5000E1M"/>
        <s v="SERVPL"/>
        <s v="SERVPLL"/>
        <s v="BP0010E1PDMK"/>
        <s v="SA11360075"/>
        <s v="CP6001E1M084"/>
        <s v="SA11360100"/>
        <s v="BF0060E2P"/>
        <s v="BF0170E2PI"/>
        <s v="BP0070E1PD"/>
        <s v="BP0070E1PI"/>
        <s v="PC0150E0MD"/>
        <s v="PC0200E0MD"/>
        <s v="AKMIS1S0P115"/>
        <s v="PVK0020E0P"/>
        <s v="PVK0040E0P"/>
        <s v="BP0250E1PD"/>
        <s v="BP0250E1PI"/>
        <s v="CP0C10E1M"/>
        <s v="BP0080E1PD"/>
        <s v="BP0080E1PI"/>
        <s v="BF0070E0M077"/>
        <s v="BF0072E0M077"/>
        <s v="BF0030E2P"/>
        <s v="RI5000E2P"/>
        <s v="PFS161E1F"/>
        <s v="CP0P20E1M"/>
        <s v="CP7500E1P"/>
        <s v="SA11360200"/>
        <s v="BF0030E0M"/>
        <s v="BF0070E0M031"/>
        <s v="BF0070E1FD"/>
        <s v="BF0070E1FI"/>
        <s v="BP0010E1PI"/>
        <s v="BKDPEQ0P0"/>
        <s v="BKMMED0P0"/>
        <s v="BKMPEQ0P0"/>
        <s v="BKMGRA0P0"/>
        <s v="PR0091L1F"/>
        <s v="PR0101L1F"/>
        <s v="PR0061L1F"/>
        <s v="CAMED0E0A"/>
        <s v="CAPEQ0E0A"/>
        <s v="FLETE"/>
        <s v="CPEXT0E1P"/>
        <s v="SA11360400"/>
        <s v="BKDGRA0P0"/>
        <s v="BKDMED0P0"/>
        <s v="PC0250E0MD"/>
        <s v="BP0010E1PD"/>
        <s v="BP0210E2T"/>
        <s v="PC0101E1M"/>
        <s v="CA0C10E1P"/>
        <s v="CADEL23M1MBG"/>
        <s v="CADEL64M1MK"/>
        <s v="CAWOK026Z1MK"/>
        <s v="BP0170E2T"/>
        <s v="BBLMPEQ0P0"/>
        <s v="BBLMISMED0P0"/>
        <s v="BP0071E0P"/>
        <s v="BBLMGRA0P0"/>
        <s v="BF0010E1FD"/>
        <s v="BP0040E1P"/>
        <s v="PFS080L1FD"/>
        <s v="PFS080L1FR"/>
        <s v="CAGRA0E0A"/>
        <s v="LMEKKK60100"/>
        <s v="LMEKKK7572"/>
        <s v="LMEBBB9050"/>
        <s v="LMEKKK114100"/>
        <s v="BP0170E0T0"/>
        <s v="LMEKKK10560"/>
        <s v="CCBCP1E1TV111"/>
        <s v="CCBPE1E1TV111"/>
        <s v="CCBPP1E1TV111"/>
        <s v="CPMED1E1A101"/>
        <s v="SFEKK4861"/>
        <s v="SFEKK5161"/>
        <s v="SFEKK6590"/>
        <s v="SFEKK7050"/>
        <s v="BP0100E1PD"/>
        <s v="CKCER1E0PV110"/>
        <s v="SFBKK7050"/>
        <s v="SFEBB70100"/>
        <s v="LMEKKK6949"/>
        <s v="SFBKK494494"/>
        <s v="SFEKK3370"/>
        <s v="SFEKK4943"/>
        <s v="SFEKK5045"/>
        <s v="SF07E013137"/>
        <s v="SERVPLB"/>
        <s v="SFEKK4475"/>
        <s v="SFEKK60584"/>
        <s v="SFEKK495695"/>
        <s v="LMEKKK10070"/>
        <s v="LMEKKK70100"/>
        <s v="SFBKK54590"/>
        <s v="SFEKK5379"/>
        <s v="SFEKK5597"/>
        <s v="SFEKK57588"/>
        <s v="SFEKK6049"/>
        <s v="SFEKK65592"/>
        <s v="SFEKK6767"/>
        <s v="SFEKK69554"/>
        <s v="BF0080E2P"/>
        <s v="CP0281E1AV086"/>
        <s v="BP17B0E0T0109"/>
        <s v="BR120E0TI109"/>
        <s v="BR1254B0TI109"/>
        <s v="LMEKKK2531"/>
        <s v="LMEKKK6478"/>
        <s v="SFEKK3542"/>
        <s v="SFEKK4172"/>
        <s v="SFEKK4846"/>
        <s v="SFEKK49561"/>
        <s v="BF0030E1M"/>
        <s v="CCBMP1E1TV111"/>
        <s v="BK0170E1TI117"/>
        <s v="BP0170E1T"/>
        <s v="SFCKK595995"/>
        <s v="LMEBBB70100"/>
        <s v="SFEBB7093"/>
        <s v="LMEBBB7043"/>
        <s v="SFEKK3540"/>
        <s v="SFEKK4052"/>
        <s v="SFEKK6672"/>
        <s v="AKEXP0E0A"/>
        <s v="BPEX40E1P"/>
        <s v="BPEX70E1P"/>
        <s v="BPEX80E1P"/>
        <s v="PCEX101E1M"/>
        <s v="PCEX151E1M"/>
        <s v="PCEX201E1M"/>
        <s v="PCEX251E1M"/>
        <s v="PCEX7501E1M"/>
        <s v="PCEXC11E1M"/>
        <s v="PCEXP11E1M"/>
        <s v="PFEXS121E1F"/>
        <s v="PVKEXP20E0P"/>
        <s v="PVKEXP40E0P"/>
        <s v="RIEXP2500E1M"/>
        <s v="RIEXP5000E1M"/>
        <s v="CP0C10E1M035"/>
        <s v="CP0P10E1M035"/>
        <s v="CP6000E1P035"/>
        <s v="BANT382P035"/>
        <s v="BKDGRA1P0035"/>
        <s v="BKDPEQ1P0035"/>
        <s v="BKMED1P0035"/>
        <s v="BKPEQ1P0035"/>
        <s v="LL2530ANT"/>
        <s v="PCHOR100AI035"/>
        <s v="CPEARC111035"/>
        <s v="PVK0020E0P035"/>
        <s v="PREAR29500P1"/>
        <s v="AK0010S0PR"/>
        <s v="BP0070E1PMK"/>
        <s v="BP0080E1PMK"/>
        <s v="CA2741E0A104"/>
        <s v="CA3651E0A104"/>
        <s v="CP0C10E1M104"/>
        <s v="CP0P10E1M104"/>
        <s v="PVK0020E0PR"/>
        <s v="RI10000E1M104"/>
        <s v="RI2500E1M104"/>
        <s v="RI5000E1M104"/>
        <s v="CASHI0E1P"/>
        <s v="CA0P11E1P021"/>
        <s v="AK0011S0P092"/>
        <s v="BF08C0E1F"/>
        <s v="BO0010E1P"/>
        <s v="BO0070E1P"/>
        <s v="BP0210E0T107"/>
        <s v="BP0310E0T107"/>
        <s v="BP0400E0T107"/>
        <s v="CA0C12E1P008"/>
        <s v="CA0P12E1P008"/>
        <s v="AKNAT2E0PI116"/>
        <s v="CA30101E0A064BGK"/>
        <s v="CA34111E0A064BGK"/>
        <s v="CPCHI0E1P060"/>
        <s v="CP0C10E1M082"/>
        <s v="CP0P10E1M082"/>
        <s v="CP0C10E1M079"/>
        <s v="CP0P10E1M079"/>
        <s v="PC0100E0MD"/>
        <s v="CAMUL0E0A099"/>
        <s v="CJ3151E0A091"/>
        <s v="BP0250E1PD106"/>
        <s v="CAFRE1E1P043"/>
        <s v="LL4363ANT112"/>
        <s v="BF0030E2M098"/>
        <s v="BFEMP0E2M098"/>
        <s v="BL0210E2T098"/>
        <s v="CPARE2E1PI098"/>
        <s v="CPCHU2E1PI098"/>
        <s v="CT10002E1PI098"/>
        <s v="BF0040E1F"/>
        <s v="CABELC13E1M103"/>
        <s v="CABELP13E1M103"/>
        <s v="RIBEL3E1MI103"/>
        <s v="CABEL0E0A067"/>
        <s v="CABEL0E1AV067"/>
        <s v="CCBEL0E1AV067"/>
        <s v="BF0130E0MI108"/>
        <s v="AKBOT1S0P095"/>
        <s v="AKLEG1S0P095"/>
        <s v="AKTAV1S0P095"/>
        <s v="CJLEB1E0A"/>
        <s v="CJVIT1E0A"/>
        <s v="CP0011E0AI095"/>
        <s v="CP0021E0AI095"/>
        <s v="CP0031E0AI095"/>
        <s v="CCNAV1E1TI108"/>
        <s v="CCTEM1E1TI108"/>
        <s v="FCIBE1P0T108"/>
        <s v="BF0040E2P"/>
        <s v="CP0P11E1M049"/>
        <s v="CP0P11E1M049R"/>
        <s v="CP0P31E1M049"/>
        <s v="CP0C11E1M001"/>
        <s v="CP0P11E1M001"/>
        <s v="BF0010E1FI"/>
        <s v="BF0170E2PD"/>
        <s v="CABA40PORC"/>
        <s v="CABA562516"/>
        <s v="CABA562610"/>
        <s v="CABA563010"/>
        <s v="BP1550E2T"/>
        <s v="CJAIR1E0A049"/>
        <s v="CJROG1E0T"/>
        <s v="CJROP1E0T"/>
        <s v="CP0C11E1M004"/>
        <s v="CP0P11E1M004"/>
        <s v="CP0P12E1M004"/>
        <s v="BAYUC1E2M009"/>
        <s v="BP0190E2T"/>
        <s v="BP1851E2P"/>
        <s v="BPCRE3E2PR009"/>
        <s v="BF0010E1F023"/>
        <s v="BF0070E1F023"/>
        <s v="MO1751E1PI119"/>
        <m/>
      </sharedItems>
    </cacheField>
    <cacheField name="Producto Terminado" numFmtId="0">
      <sharedItems containsBlank="1" count="346">
        <s v="VTARTL VENTA RETAL"/>
        <s v="VTACHT CHATARRA"/>
        <s v="CAJA ARUM VITAL AZUL NAL"/>
        <s v="CAJA ARUM LIFE ROSADA NAL"/>
        <s v="Single face E BG/BG 41x49.5"/>
        <s v="Single face E BG/BG 49.5x52.5"/>
        <s v="SERVICIO CORRUGADO"/>
        <s v="SERVICIO ENCOLADO"/>
        <s v="SERVICIO TROQUELADO"/>
        <s v="SERVICIO PEGADO"/>
        <s v="Single face E B/B 41,3x47,3"/>
        <s v="Single face E K/K 39,6X73,3"/>
        <s v="Single face E K/K 48,3X97,3"/>
        <s v="Single face E K/K 51,3x80,3"/>
        <s v="Single face E K/K 61,3x75,3"/>
        <s v="Single face E K/K 89,3x47,3"/>
        <s v="Caja maletin multipack 1 tinta (ARTE NUE"/>
        <s v="PORTA CALIENTE KRAFT 23,5X14,7"/>
        <s v="Separador tacos"/>
        <s v="Single face B K/K 71x77,1"/>
        <s v="Single face E B/K 42,5x62,2"/>
        <s v="Single face E B/K 44,5X34,5"/>
        <s v="Single face E B/K 49,1x65,6"/>
        <s v="Single face E B/K 51,5x35,5"/>
        <s v="Single face E B/K 56,2X101,7"/>
        <s v="Single face E B/K 64,3x54,4"/>
        <s v="Single face E B/K 66,9x46,5"/>
        <s v="Single face E B/K 76,8X55,8"/>
        <s v="Single face E B/K 83,1x51,3"/>
        <s v="Single face E K/K 100x90"/>
        <s v="Single face E K/K 110x100"/>
        <s v="Single face E K/K 40,2X70,8"/>
        <s v="Single face E K/K 44,5x65,5"/>
        <s v="Single face E K/K 45,9X63,5"/>
        <s v="Single face E K/K 49.5X88.5"/>
        <s v="Single face E K/K 51,5x44,3"/>
        <s v="Single face E K/K 56,6X70,7"/>
        <s v="Single Face E K/K 57,1x59,5"/>
        <s v="Single face E K/K 60x100"/>
        <s v="Single face E K/K 60x90"/>
        <s v="Single face E K/K 63.8x76.7"/>
        <s v="Single face E K/K 69,5x35,5"/>
        <s v="Single face E K/K 69,5x56"/>
        <s v="Single face E K/K 70x100"/>
        <s v="Single face E K/K 70x70"/>
        <s v="Single face E K/K 70x90"/>
        <s v="Single face E K/K 89,2x55,4"/>
        <s v="Single face E K/K 90x105"/>
        <s v="Single face E K/K 99,9x65,2"/>
        <s v="Estibas malas y retales de madera"/>
        <s v="Lamina microcorrugada E K/K/K 45x69"/>
        <s v="Lamina microcorrugada E K/K/K 52x81,5"/>
        <s v="Lamina microcorrugada E K/K/K 54x83,5"/>
        <s v="Lamina microcorrugada E K/K/K 62x86"/>
        <s v="Lamina microcorrugada E K/K/K 70x62"/>
        <s v="Lamina microcorrugada E K/K/K 74,5x68,5"/>
        <s v="Single face B K/K 44,5x77,5"/>
        <s v="Single face B K/K 55X116"/>
        <s v="Single face B K/K 55X90,5"/>
        <s v="Single face B K/K 61x79,5"/>
        <s v="Single face B K/K 64,5x108"/>
        <s v="Single face B K/K 64x84,5"/>
        <s v="Single face B K/K 66X60.5"/>
        <s v="Single face B K/K 67.5X116"/>
        <s v="Single face B K/K 69,7X59,5"/>
        <s v="Single face B K/K 74,3X59,7"/>
        <s v="Single face B K/K 78,8X65,3"/>
        <s v="Single face B K/K 90x57"/>
        <s v="Single face B K/K 96,5X116"/>
        <s v="Single face B K/K 99,5x69,5"/>
        <s v="Single face C K/K 87,5x91,5"/>
        <s v="Single face C K/K 99,5x69,5"/>
        <s v="Single face E K/K 43,5x67"/>
        <s v="Single face E K/K 49,5x52"/>
        <s v="Single face E K/K 51,5x42,5"/>
        <s v="Single face E K/K 57,5x62,5"/>
        <s v="Single face E K/K 57,5x89,5"/>
        <s v="Single face E K/K 59,5x71,5"/>
        <s v="Single face E K/K 61x59,5"/>
        <s v="Single face E K/K 63,5x95"/>
        <s v="Single Face E K/K 67,5x42"/>
        <s v="Single face E K/K 68X97,5"/>
        <s v="Single face E K/K 69,5x72,5"/>
        <s v="Single face E K/K 71x43,5"/>
        <s v="Single face E K/K 73x66"/>
        <s v="Single face E K/K 74,5X101"/>
        <s v="Single face E K/K 79,5x64,5"/>
        <s v="Single face E K/K 79,5x69,5"/>
        <s v="Single face E K/K 79x73,5"/>
        <s v="Single face E K/K 85,5x42"/>
        <s v="Single face E K/K 89,5x49,5"/>
        <s v="Single face E K/K 89,5x86,5"/>
        <s v="NO DEFINIDO"/>
        <s v="Otros"/>
        <s v="Aislador kraft"/>
        <s v="CONTENEDOR P1 TAPA ALTA"/>
        <s v="CONTENEDOR P2 TAPA ALTA"/>
        <s v="CONTENEDOR 1000GR TAPA ALTA"/>
        <s v="CONTENEDOR P1 TAPA PLANA"/>
        <s v="CONTENEDOR 1000GR TAPA PLANA"/>
        <s v="CONTENEDOR 600GR TAPA PLANA"/>
        <s v="Recipiente industrial 1000 gr"/>
        <s v="Recipiente industrial 250 gr"/>
        <s v="Recipiente industrial 350 gr"/>
        <s v="Recipiente industrial 500 gr"/>
        <s v="SERVICIO PLASTIFICADO BRILLANTE"/>
        <s v="SERVICIO PLASTIFICADO LECHOSO"/>
        <s v="Bandeja plana #1 makro"/>
        <s v="Salseros de Papel 0.75 onz"/>
        <s v="Contenedor 600gr TP Carnivoro"/>
        <s v="Salseros de Papel 1 onz"/>
        <s v="Bandeja fruver #6"/>
        <s v="Bandeja fruver #17 granel"/>
        <s v="Bandeja plana #7"/>
        <s v="Bandeja plana #7 granel"/>
        <s v="Plato cuadrado 15x15 (D)"/>
        <s v="Plato cuadrado 20x20 (D)"/>
        <s v="Aislador kraft Mistral"/>
        <s v="Portavasos k/k x 2 unds"/>
        <s v="Portavasos k/k por 4 unds"/>
        <s v="Bandeja plana #25"/>
        <s v="Bandeja plana #25 granel"/>
        <s v="CONTENEDOR C1 TAPA PLANA"/>
        <s v="Bandeja plana #8"/>
        <s v="Bandeja plana #8 granel"/>
        <s v="Bandeja Fruver # 7 3.5 alto la calera0x0"/>
        <s v="Bandeja Fruver # 7 3.5 alto la calera"/>
        <s v="Bandeja fruver #3 Granel"/>
        <s v="RECIPIENTE INDUSTRIAL 500GR PX2"/>
        <s v="Plato sopero 16onz"/>
        <s v="CONTENEDOR P2 TAPA PLANA"/>
        <s v="CONTENEDOR 750GR TAPA PLANA"/>
        <s v="Salseros de Papel 2 onz"/>
        <s v="Bandeja fruver #3 sin plastificar"/>
        <s v="Bandeja Fruver # 7 sin plastificar"/>
        <s v="Bandeja formada #7"/>
        <s v="Bandeja formada #7 granel"/>
        <s v="Bandeja plana #1 granel"/>
        <s v="Bolsa kraft delivery pequeña (20.5+12x25 cms S/M)"/>
        <s v="Bolsa kraft mediana con manigueta(25+17x35 cms C/M)"/>
        <s v="Bolsa kraft pequeña con manigueta (20.5+12x25 cms C/M)"/>
        <s v="Bolsa kraft grande con manigueta (31+17x42.5cms C/M)"/>
        <s v="Plato redondo 9 in"/>
        <s v="Plato redondo 10 in"/>
        <s v="Plato redondo 6 in"/>
        <s v="Caja regalo beige mediana"/>
        <s v="Caja regalo beige pequeña"/>
        <s v="FLETE FLETE VENTAS"/>
        <s v="CONTENEDOR EXTRAGRANDE"/>
        <s v="Salseros de Papel 4 onz"/>
        <s v="Bolsa kraft delivery grande(31+17x42.5 cms S/M)"/>
        <s v="Bolsa kraft delivery mediana(25+17x35 cms S/M)"/>
        <s v="Plato cuadrado 25x25 (D)"/>
        <s v="Bandeja plana #1"/>
        <s v="BLONDA 21CM"/>
        <s v="Plato cuadrado 10x10"/>
        <s v="Contenedor C1 tapa alta"/>
        <s v="Caja delivery beige 23 onz"/>
        <s v="Caja delivery kraft 64 onz"/>
        <s v="Caja wok kraft 26onz"/>
        <s v="BLONDA 17 PLASTIFICADO POR AMBOS LADOS"/>
        <s v="Bolsa blanca pequeña con manigueta 20+12X25 C/M"/>
        <s v="Bolsa blanca boutique con manigueta25,5+13x33"/>
        <s v="BANDEJA PLANA # 7 NAVIDAD - 1 TINTA"/>
        <s v="Bolsa blanca grande con manigueta"/>
        <s v="Bandeja formada #1"/>
        <s v="Bandeja plana #4"/>
        <s v="Plato sopero 8onz (D)"/>
        <s v="Plato sopero 8onz (R)"/>
        <s v="Caja regalo beige grande"/>
        <s v="Lamina microcorrugada E K/K/K 60x100"/>
        <s v="Lamina microcorrugada E K/K/K 75x72"/>
        <s v="Lamina microcorrugada E B/B/B 90x50"/>
        <s v="Lamina microcorrugada E K/K/K 114x100"/>
        <s v="Blonda # 17 Px0"/>
        <s v="Lamina microcorrugada E K/K/K 105x60"/>
        <s v="Contenedor armable brosty cuarto de poll"/>
        <s v="Contenedor armable brosty entero"/>
        <s v="Contenedor armable brosty pollo pequeño"/>
        <s v="Contenedor armable brosty medio pollo"/>
        <s v="Single face E K/K 48X61"/>
        <s v="Single face E K/K 51X61"/>
        <s v="Single face E K/K 65x90"/>
        <s v="Single face E K/K 70x50"/>
        <s v="Bandeja plana #10"/>
        <s v="CAJA 1 CERVEZA 3 COPAS + PARRILLA"/>
        <s v="Single face B K/K 70x50"/>
        <s v="Single face E B/B 70x100"/>
        <s v="Lamina microcorrugada E K/K/K 69x49"/>
        <s v="Single Face B K/K 49,4x49,4"/>
        <s v="Single face E K/K 33x70"/>
        <s v="Single face E K/K 49x43"/>
        <s v="Single face E K/K 50X45"/>
        <s v="PARRILLA 13X13,7 B/B ILEGALE"/>
        <s v="SERVICIO PLASTIFICADO BIOLOUMAX"/>
        <s v="Single face E K/K 44x75"/>
        <s v="Single face E K/K 60X58,4"/>
        <s v="Single face E K/K 49,5X69,5"/>
        <s v="Lamina microcorrugada E K/K/K 100x70"/>
        <s v="Lamina microcorrugada E K/K/K 70x100"/>
        <s v="Single face B K/K 54,5X90"/>
        <s v="Single face E K/K 53X79"/>
        <s v="Single face E K/K 55X97"/>
        <s v="Single face E K/K 57,5X88"/>
        <s v="Single face E K/K 60X49"/>
        <s v="Single face E K/K 65,5x92"/>
        <s v="Single face E K/K 67x67"/>
        <s v="Single face E K/K 69,5X54"/>
        <s v="Bandeja fruver #8"/>
        <s v="Caja micro sandupa 28x28x15"/>
        <s v="Blonda 17B PX0 Obleas JL"/>
        <s v="BLONDA #12 PX0 OBLEAS JL"/>
        <s v="BLONDA #12,5 PX0 IMPRESA OBLEAS JL"/>
        <s v="Lamina microcorrugada E K/K/K 25x31"/>
        <s v="Lamina microcorrugada E K/K/K 64x78"/>
        <s v="Single face E K/K 35x42"/>
        <s v="Single face E K/K 41x72"/>
        <s v="Single face E K/K 48x46"/>
        <s v="Single face E K/K 49,5X61"/>
        <s v="Bandeja Fruver # 3 PX1"/>
        <s v="Blonda # 17 Px1 Kraft Flauta E"/>
        <s v="Blonda # 17 Px1"/>
        <s v="Single face C K/K 59,5x99,5"/>
        <s v="Lamina microcorrugada E B/B/B 70x100"/>
        <s v="Single face E B/B 70x93"/>
        <s v="Lamina microcorrugada E B/B/B 70x43"/>
        <s v="Single face E K/K 35x40"/>
        <s v="Single face E K/K 40x52"/>
        <s v="Single face E K/K 66X72"/>
        <s v="Cup sleeve"/>
        <s v="TRAY # 4"/>
        <s v="TRAY # 7"/>
        <s v="TRAY # 8"/>
        <s v="SQUARE PLATE 4x4in"/>
        <s v="SQUARE PLATE 6x6in"/>
        <s v="SQUARE PLATE 8x8in"/>
        <s v="SQUARE PLATE 10x10in"/>
        <s v="TAKE-OUT CONTAINER 750"/>
        <s v="TAKE-OUT CONTAINER C1"/>
        <s v="TAKE-OUT CONTAINER P1"/>
        <s v="SOUP PLATE 12 ONZ"/>
        <s v="Cup drink carrier x 2"/>
        <s v="Cup drink carrier x 4"/>
        <s v="HIGH TRAY 250 GRS"/>
        <s v="HIGH TRAY 500 GRS"/>
        <s v="Contenedor C1 TP Archies"/>
        <s v="Contenedor P1 TP Archies"/>
        <s v="Contenedor 600gr TP Archies"/>
        <s v="BOLSA MEDIA PORCIÓN ADICIONALES PAQx100"/>
        <s v="Bolsa grande PCA x 300unds - ARC"/>
        <s v="Bolsa mediana PCA x 250unds - ARC"/>
        <s v="Bolsa kraft mediana C/M starbucks"/>
        <s v="Bolsa Kraft Pequeña C/M starbucks"/>
        <s v="PAPEL DE HORNEO SIN IMPRESIÓN (25X30)"/>
        <s v="Papel antigraso Starbucks"/>
        <s v="Contenedor C1 TP starbucks PL"/>
        <s v="Portavasos k/k x 2 unds Starbucks"/>
        <s v="Parrilla contenedor P1 TP"/>
        <s v="Aislador kraft (R)"/>
        <s v="Bandeja plana #7 makro"/>
        <s v="Bandeja plana #8 makro"/>
        <s v="Caja pizza 27x27x4.5 cm makro"/>
        <s v="Caja pizza  36x36x5 cm makro"/>
        <s v="CONTENEDOR C1 TAPA PLANA MAKRO"/>
        <s v="CONTENEDOR P1 TAPA PLANA MAKRO"/>
        <s v="Portavasos k/k x 2 unds (R)"/>
        <s v="Recipiente industrial 1000 gr makro"/>
        <s v="Recipiente industrial 250 gr makro"/>
        <s v="Recipiente industrial 500 gr makro"/>
        <s v="CONTENEDOR SUSHI TAPA ALTA"/>
        <s v="CONTENEDOR P1 TA ZUANA"/>
        <s v="Aislador cocorollo"/>
        <s v="BANDEJA  FORMADA Nº8C GRANEL"/>
        <s v="BANDEJA ONDAS #1"/>
        <s v="BANDEJA ONDAS #7"/>
        <s v="Blonda #21 cm hacienda"/>
        <s v="Blonda #31 cm hacienda"/>
        <s v="Blonda #40 cm hacienda"/>
        <s v="CONTENEDOR C1 TA HOTWINGS"/>
        <s v="CONTENEDOR P1 TA HOTWINGS"/>
        <s v="Aislador Kraft Nativos 5cm"/>
        <s v="Caja BG/K 30x30x10 - Maxi pastel"/>
        <s v="Caja BG/K 34x34x11 - Maxi pastel"/>
        <s v="Contenedor tapa plana chicharrón sin imp"/>
        <s v="Contenedor C1 TP Big Boy"/>
        <s v="Contenedor P1 TP Big Boy"/>
        <s v="Contenedor C1 TP-Kive"/>
        <s v="Contenedor P1 TP-Kive"/>
        <s v="Plato cuadrado 10x10(D)"/>
        <s v="Caja Refrigerio Multivasos"/>
        <s v="CAJA PIZZA 31x31x5 MAXIMO"/>
        <s v="Bandeja plana #25 Pollo Salvaje"/>
        <s v="Contenedor fresas tapa alta"/>
        <s v="Papel antigraso sin impresion 43x63"/>
        <s v="Bandeja Fruver # 3 sancho paisa"/>
        <s v="Bandeja empanadas sancho paisa"/>
        <s v="Blonda #21 Sancho paisa"/>
        <s v="Contenedor arepa sancho paisa"/>
        <s v="Contenedor chuzo sancho paisa"/>
        <s v="Contenedor 1000 gr TP sancho paisa"/>
        <s v="Bandeja formada #4"/>
        <s v="Contenedor C1 TA Belga"/>
        <s v="Contenedor P1 TA Belga"/>
        <s v="Recipiente industrial 250gr Belga"/>
        <s v="Caja Bel Skin 0X0"/>
        <s v="Caja bel skin PX1"/>
        <s v="Caja regalo beige mediana PX1"/>
        <s v="Bandeja fruver 13x13 PX0"/>
        <s v="Aislador bottega"/>
        <s v="Aislador legrand"/>
        <s v="Aislador la tavola"/>
        <s v="Caja pizza legrand"/>
        <s v="Caja pizza vito"/>
        <s v="Caja pizza la tavola"/>
        <s v="Caja pizza la tavola pasta y vino"/>
        <s v="Caja pizza la tavola invecchia"/>
        <s v="CAJA CANASTA NAVIDAD - GREEN &amp; FRESH"/>
        <s v="Caja canasta temporadas"/>
        <s v="Funda caja canasta temporadas"/>
        <s v="Bandeja fruver #4"/>
        <s v="Contenedor P1 TP AGCINCO"/>
        <s v="Contenedor P1 TP AIRE ROMERO"/>
        <s v="Contenedor P3 TP AGCINCO"/>
        <s v="Contenedor C1 TP EL CORREO"/>
        <s v="Contenedor P1 TP EL CORREO"/>
        <s v="Bandeja formada #1 granel"/>
        <s v="Bandeja fruver #17 bolsita"/>
        <s v="CAJA TORTA PORCION PERSONAL"/>
        <s v="CAJA TORTA RECTANGULAR 25X16"/>
        <s v="Caja torta 26X26X10"/>
        <s v="CAJA TORTA 30X30X10"/>
        <s v="BLONDA 15,5 PLASTIFICADO POR AMBOS LADOS"/>
        <s v="Caja de pizza pequeña Aire Romero"/>
        <s v="CAJA PIZZA ROMERO GRANDE"/>
        <s v="CAJA PIZZA ROMERO PEQUEÑA"/>
        <s v="Contenedor C1 TP SPORTWINGS(nuevo)"/>
        <s v="Contenedor P1 TP SPORTWINGS(nuevo)"/>
        <s v="CONTENEDOR P1 TP SPORTWINGS"/>
        <s v="Bandeja arepitas con yuca y queso x 14un"/>
        <s v="BLONDA #19 PLASTIFICADA POR AMBOS LADOS"/>
        <s v="Bandeja 18.5x10x2 Sary PX2 IMPRESO"/>
        <s v="Bandeja arepita con queso doble cremax10unds(masma"/>
        <s v="Bandeja formada #1 repuje sigmaplas"/>
        <s v="Bandeja formada #7 repuje sigmaplas"/>
        <s v="MOLDE 17,5X7,5X5 CM"/>
        <m/>
      </sharedItems>
    </cacheField>
    <cacheField name="Dic-25 Cantidad" numFmtId="0">
      <sharedItems containsString="0" containsBlank="1" containsNumber="1" containsInteger="1" minValue="0" maxValue="276000"/>
    </cacheField>
    <cacheField name="Dic-25 Valor" numFmtId="0">
      <sharedItems containsString="0" containsBlank="1" containsNumber="1" containsInteger="1" minValue="0" maxValue="69750000"/>
    </cacheField>
    <cacheField name="Ene-26 Cantidad" numFmtId="0">
      <sharedItems containsString="0" containsBlank="1" containsNumber="1" containsInteger="1" minValue="0" maxValue="360000"/>
    </cacheField>
    <cacheField name="Ene-26 Valor" numFmtId="0">
      <sharedItems containsString="0" containsBlank="1" containsNumber="1" containsInteger="1" minValue="0" maxValue="55015546"/>
    </cacheField>
    <cacheField name="Feb-26 Cantidad" numFmtId="0">
      <sharedItems containsString="0" containsBlank="1" containsNumber="1" containsInteger="1" minValue="0" maxValue="351000"/>
    </cacheField>
    <cacheField name="Feb-26 Valor" numFmtId="0">
      <sharedItems containsString="0" containsBlank="1" containsNumber="1" containsInteger="1" minValue="0" maxValue="55437450"/>
    </cacheField>
    <cacheField name="Mar-26 Cantidad" numFmtId="0">
      <sharedItems containsString="0" containsBlank="1" containsNumber="1" containsInteger="1" minValue="0" maxValue="241600"/>
    </cacheField>
    <cacheField name="Mar-26 Valor" numFmtId="0">
      <sharedItems containsString="0" containsBlank="1" containsNumber="1" containsInteger="1" minValue="0" maxValue="50925000"/>
    </cacheField>
    <cacheField name="Abr-26 Cantidad" numFmtId="0">
      <sharedItems containsString="0" containsBlank="1" containsNumber="1" containsInteger="1" minValue="0" maxValue="200000"/>
    </cacheField>
    <cacheField name="Abr-26 Valor" numFmtId="0">
      <sharedItems containsString="0" containsBlank="1" containsNumber="1" containsInteger="1" minValue="0" maxValue="39629478"/>
    </cacheField>
    <cacheField name="May-26 Ajustado Cantidad" numFmtId="0">
      <sharedItems containsString="0" containsBlank="1" containsNumber="1" containsInteger="1" minValue="0" maxValue="159080"/>
    </cacheField>
    <cacheField name="May-26 Ajustado Valor" numFmtId="0">
      <sharedItems containsString="0" containsBlank="1" containsNumber="1" containsInteger="1" minValue="0" maxValue="71391252"/>
    </cacheField>
    <cacheField name="Promedio 6M Cantidad" numFmtId="0">
      <sharedItems containsString="0" containsBlank="1" containsNumber="1" containsInteger="1" minValue="0" maxValue="165000"/>
    </cacheField>
    <cacheField name="Promedio 6M Valor" numFmtId="0">
      <sharedItems containsString="0" containsBlank="1" containsNumber="1" containsInteger="1" minValue="1" maxValue="41940919"/>
    </cacheField>
    <cacheField name="valor" numFmtId="0">
      <sharedItems containsString="0" containsBlank="1" containsNumber="1" minValue="0" maxValue="18235.8"/>
    </cacheField>
    <cacheField name="Julio Cantidad" numFmtId="0">
      <sharedItems containsString="0" containsBlank="1" containsNumber="1" containsInteger="1" minValue="0" maxValue="214500"/>
    </cacheField>
    <cacheField name="Julio Valor" numFmtId="0">
      <sharedItems containsString="0" containsBlank="1" containsNumber="1" minValue="0" maxValue="54526080.637609355"/>
    </cacheField>
    <cacheField name="Agosto Cantidad" numFmtId="0">
      <sharedItems containsBlank="1" containsMixedTypes="1" containsNumber="1" containsInteger="1" minValue="0" maxValue="214500"/>
    </cacheField>
    <cacheField name="Agosto Valor" numFmtId="0">
      <sharedItems containsString="0" containsBlank="1" containsNumber="1" minValue="0" maxValue="54526080.637609355"/>
    </cacheField>
    <cacheField name="Septiembre Cantidad" numFmtId="0">
      <sharedItems containsString="0" containsBlank="1" containsNumber="1" containsInteger="1" minValue="0" maxValue="214500"/>
    </cacheField>
    <cacheField name="Septiembre Valor" numFmtId="0">
      <sharedItems containsString="0" containsBlank="1" containsNumber="1" minValue="0" maxValue="54523606.976801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4">
  <r>
    <x v="0"/>
    <s v="CORPORACION ECO AYUDAR"/>
    <s v="RETAL"/>
    <x v="0"/>
    <x v="0"/>
    <n v="0"/>
    <n v="0"/>
    <n v="0"/>
    <n v="0"/>
    <n v="0"/>
    <n v="0"/>
    <n v="18768"/>
    <n v="5630400"/>
    <n v="18941"/>
    <n v="5682300"/>
    <n v="14684"/>
    <n v="4405100"/>
    <n v="8732"/>
    <n v="2619633"/>
    <n v="300.00377920293175"/>
    <n v="11352"/>
    <n v="3405642.9015116813"/>
    <n v="11352"/>
    <n v="3405642.9015116813"/>
    <n v="11352"/>
    <n v="3405642.9015116813"/>
  </r>
  <r>
    <x v="0"/>
    <s v="CORPORACION INNOVAR RECICLA"/>
    <s v="OTROS"/>
    <x v="1"/>
    <x v="1"/>
    <n v="0"/>
    <n v="0"/>
    <n v="1090"/>
    <n v="545000"/>
    <n v="0"/>
    <n v="0"/>
    <n v="0"/>
    <n v="0"/>
    <n v="0"/>
    <n v="0"/>
    <n v="0"/>
    <n v="0"/>
    <n v="182"/>
    <n v="90833"/>
    <n v="499.08241758241758"/>
    <n v="236"/>
    <n v="117783.45054945054"/>
    <n v="236"/>
    <n v="117783.45054945054"/>
    <n v="236"/>
    <n v="117783.45054945054"/>
  </r>
  <r>
    <x v="0"/>
    <s v="DIVEGRAFICAS SAS"/>
    <s v="Microcorrugado"/>
    <x v="2"/>
    <x v="2"/>
    <n v="0"/>
    <n v="0"/>
    <n v="1000"/>
    <n v="455000"/>
    <n v="0"/>
    <n v="0"/>
    <n v="0"/>
    <n v="0"/>
    <n v="0"/>
    <n v="0"/>
    <n v="0"/>
    <n v="0"/>
    <n v="167"/>
    <n v="75833"/>
    <n v="454.08982035928142"/>
    <n v="217"/>
    <n v="98537.491017964072"/>
    <n v="217"/>
    <n v="98537.491017964072"/>
    <n v="217"/>
    <n v="98537.491017964072"/>
  </r>
  <r>
    <x v="0"/>
    <s v="DIVEGRAFICAS SAS"/>
    <s v="Microcorrugado"/>
    <x v="3"/>
    <x v="3"/>
    <n v="0"/>
    <n v="0"/>
    <n v="1050"/>
    <n v="477750"/>
    <n v="0"/>
    <n v="0"/>
    <n v="0"/>
    <n v="0"/>
    <n v="965"/>
    <n v="439075"/>
    <n v="0"/>
    <n v="0"/>
    <n v="336"/>
    <n v="152804"/>
    <n v="454.77380952380952"/>
    <n v="437"/>
    <n v="198736.15476190476"/>
    <n v="437"/>
    <n v="198736.15476190476"/>
    <n v="437"/>
    <n v="198736.15476190476"/>
  </r>
  <r>
    <x v="0"/>
    <s v="DIVEGRAFICAS SAS"/>
    <s v="Microcorrugado"/>
    <x v="4"/>
    <x v="4"/>
    <n v="0"/>
    <n v="0"/>
    <n v="3000"/>
    <n v="1365000"/>
    <n v="0"/>
    <n v="0"/>
    <n v="0"/>
    <n v="0"/>
    <n v="0"/>
    <n v="0"/>
    <n v="0"/>
    <n v="0"/>
    <n v="500"/>
    <n v="227500"/>
    <n v="455"/>
    <n v="650"/>
    <n v="295750"/>
    <n v="650"/>
    <n v="295750"/>
    <n v="650"/>
    <n v="295750"/>
  </r>
  <r>
    <x v="0"/>
    <s v="DIVEGRAFICAS SAS"/>
    <s v="Microcorrugado"/>
    <x v="5"/>
    <x v="5"/>
    <n v="0"/>
    <n v="0"/>
    <n v="5500"/>
    <n v="1915415"/>
    <n v="0"/>
    <n v="0"/>
    <n v="0"/>
    <n v="0"/>
    <n v="1065"/>
    <n v="484575"/>
    <n v="0"/>
    <n v="0"/>
    <n v="1094"/>
    <n v="399998"/>
    <n v="365.62888482632542"/>
    <n v="1422"/>
    <n v="519924.27422303474"/>
    <n v="1422"/>
    <n v="519924.27422303474"/>
    <n v="1422"/>
    <n v="519924.27422303474"/>
  </r>
  <r>
    <x v="0"/>
    <s v="DIVEGRAFICAS SAS"/>
    <s v="SERVICIO"/>
    <x v="6"/>
    <x v="6"/>
    <n v="0"/>
    <n v="0"/>
    <n v="1000"/>
    <n v="120000"/>
    <n v="0"/>
    <n v="0"/>
    <n v="0"/>
    <n v="0"/>
    <n v="0"/>
    <n v="0"/>
    <n v="0"/>
    <n v="0"/>
    <n v="167"/>
    <n v="20000"/>
    <n v="119.76047904191617"/>
    <n v="217"/>
    <n v="25988.023952095809"/>
    <n v="217"/>
    <n v="25988.023952095809"/>
    <n v="217"/>
    <n v="25988.023952095809"/>
  </r>
  <r>
    <x v="0"/>
    <s v="DIVEGRAFICAS SAS"/>
    <s v="SERVICIO"/>
    <x v="7"/>
    <x v="7"/>
    <n v="0"/>
    <n v="0"/>
    <n v="1454"/>
    <n v="895664"/>
    <n v="0"/>
    <n v="0"/>
    <n v="0"/>
    <n v="0"/>
    <n v="527"/>
    <n v="324632"/>
    <n v="0"/>
    <n v="0"/>
    <n v="330"/>
    <n v="203383"/>
    <n v="616.31212121212116"/>
    <n v="429"/>
    <n v="264397.89999999997"/>
    <n v="429"/>
    <n v="264397.89999999997"/>
    <n v="429"/>
    <n v="264397.89999999997"/>
  </r>
  <r>
    <x v="0"/>
    <s v="DIVEGRAFICAS SAS"/>
    <s v="SERVICIO"/>
    <x v="8"/>
    <x v="8"/>
    <n v="0"/>
    <n v="0"/>
    <n v="9050"/>
    <n v="1086000"/>
    <n v="0"/>
    <n v="0"/>
    <n v="0"/>
    <n v="0"/>
    <n v="2030"/>
    <n v="243600"/>
    <n v="3100"/>
    <n v="341000"/>
    <n v="2363"/>
    <n v="278433"/>
    <n v="117.83030046550995"/>
    <n v="3072"/>
    <n v="361974.68303004658"/>
    <n v="3072"/>
    <n v="361974.68303004658"/>
    <n v="3072"/>
    <n v="361974.68303004658"/>
  </r>
  <r>
    <x v="0"/>
    <s v="GRAFICAS ALADINO SOCIEDAD POR ACCIONES SIMPLIFICADA"/>
    <s v="SERVICIO"/>
    <x v="9"/>
    <x v="9"/>
    <n v="5500"/>
    <n v="440000"/>
    <n v="4270"/>
    <n v="341600"/>
    <n v="0"/>
    <n v="0"/>
    <n v="0"/>
    <n v="0"/>
    <n v="0"/>
    <n v="0"/>
    <n v="0"/>
    <n v="0"/>
    <n v="1628"/>
    <n v="130267"/>
    <n v="0"/>
    <n v="0"/>
    <n v="0"/>
    <n v="0"/>
    <n v="0"/>
    <n v="0"/>
    <n v="0"/>
  </r>
  <r>
    <x v="0"/>
    <s v="INDUSTRIAS ALFA Y OMEGA SA"/>
    <s v="Microcorrugado"/>
    <x v="10"/>
    <x v="10"/>
    <n v="0"/>
    <n v="0"/>
    <n v="0"/>
    <n v="0"/>
    <n v="3500"/>
    <n v="2943500"/>
    <n v="0"/>
    <n v="0"/>
    <n v="0"/>
    <n v="0"/>
    <n v="0"/>
    <n v="0"/>
    <n v="583"/>
    <n v="490583"/>
    <n v="841.48027444253864"/>
    <n v="758"/>
    <n v="637842.04802744428"/>
    <n v="758"/>
    <n v="637842.04802744428"/>
    <n v="758"/>
    <n v="637842.04802744428"/>
  </r>
  <r>
    <x v="0"/>
    <s v="INDUSTRIAS ALFA Y OMEGA SA"/>
    <s v="Microcorrugado"/>
    <x v="11"/>
    <x v="11"/>
    <n v="0"/>
    <n v="0"/>
    <n v="63111"/>
    <n v="22088850"/>
    <n v="0"/>
    <n v="0"/>
    <n v="0"/>
    <n v="0"/>
    <n v="0"/>
    <n v="0"/>
    <n v="0"/>
    <n v="0"/>
    <n v="10518"/>
    <n v="3681475"/>
    <n v="350.01663814413388"/>
    <n v="13674"/>
    <n v="4786127.5099828867"/>
    <n v="13674"/>
    <n v="4786127.5099828867"/>
    <n v="13674"/>
    <n v="4786127.5099828867"/>
  </r>
  <r>
    <x v="0"/>
    <s v="INDUSTRIAS ALFA Y OMEGA SA"/>
    <s v="Microcorrugado"/>
    <x v="12"/>
    <x v="12"/>
    <n v="0"/>
    <n v="0"/>
    <n v="31557"/>
    <n v="18618630"/>
    <n v="0"/>
    <n v="0"/>
    <n v="0"/>
    <n v="0"/>
    <n v="0"/>
    <n v="0"/>
    <n v="0"/>
    <n v="0"/>
    <n v="5260"/>
    <n v="3103105"/>
    <n v="589.94391634980991"/>
    <n v="6837"/>
    <n v="4033446.5560836503"/>
    <n v="6837"/>
    <n v="4033446.5560836503"/>
    <n v="6837"/>
    <n v="4033446.5560836503"/>
  </r>
  <r>
    <x v="0"/>
    <s v="INDUSTRIAS ALFA Y OMEGA SA"/>
    <s v="Microcorrugado"/>
    <x v="13"/>
    <x v="13"/>
    <n v="41295"/>
    <n v="20234550"/>
    <n v="53955"/>
    <n v="26437950"/>
    <n v="57200"/>
    <n v="29972800"/>
    <n v="4810"/>
    <n v="2520440"/>
    <n v="34195"/>
    <n v="17918180"/>
    <n v="19190"/>
    <n v="10055810"/>
    <n v="35108"/>
    <n v="17856622"/>
    <n v="508.61974478751284"/>
    <n v="45640"/>
    <n v="23213405.152102087"/>
    <n v="45640"/>
    <n v="23213405.152102087"/>
    <n v="45640"/>
    <n v="23213405.152102087"/>
  </r>
  <r>
    <x v="0"/>
    <s v="INDUSTRIAS ALFA Y OMEGA SA"/>
    <s v="Microcorrugado"/>
    <x v="14"/>
    <x v="14"/>
    <n v="0"/>
    <n v="0"/>
    <n v="2725"/>
    <n v="2133675"/>
    <n v="2502"/>
    <n v="2096676"/>
    <n v="0"/>
    <n v="0"/>
    <n v="0"/>
    <n v="0"/>
    <n v="0"/>
    <n v="0"/>
    <n v="871"/>
    <n v="705058"/>
    <n v="809.48105625717562"/>
    <n v="1133"/>
    <n v="917142.03673937998"/>
    <n v="1133"/>
    <n v="917142.03673937998"/>
    <n v="1133"/>
    <n v="917142.03673937998"/>
  </r>
  <r>
    <x v="0"/>
    <s v="INDUSTRIAS ALFA Y OMEGA SA"/>
    <s v="Microcorrugado"/>
    <x v="15"/>
    <x v="15"/>
    <n v="21000"/>
    <n v="10500000"/>
    <n v="0"/>
    <n v="0"/>
    <n v="0"/>
    <n v="0"/>
    <n v="0"/>
    <n v="0"/>
    <n v="0"/>
    <n v="0"/>
    <n v="0"/>
    <n v="0"/>
    <n v="3500"/>
    <n v="1750000"/>
    <n v="500"/>
    <n v="4550"/>
    <n v="2275000"/>
    <n v="4550"/>
    <n v="2275000"/>
    <n v="4550"/>
    <n v="2275000"/>
  </r>
  <r>
    <x v="0"/>
    <s v="LA RECETA Y CIA SAS"/>
    <s v="SEEDPACK"/>
    <x v="16"/>
    <x v="16"/>
    <n v="2475"/>
    <n v="8372925"/>
    <n v="0"/>
    <n v="0"/>
    <n v="1475"/>
    <n v="4989925"/>
    <n v="0"/>
    <n v="0"/>
    <n v="1275"/>
    <n v="4615500"/>
    <n v="0"/>
    <n v="0"/>
    <n v="871"/>
    <n v="2996392"/>
    <n v="3440.1745120551091"/>
    <n v="1132"/>
    <n v="3894277.5476463833"/>
    <n v="1132"/>
    <n v="3894277.5476463833"/>
    <n v="1132"/>
    <n v="3894277.5476463833"/>
  </r>
  <r>
    <x v="0"/>
    <s v="LA RECETA Y CIA SAS"/>
    <s v="SEEDPACK"/>
    <x v="17"/>
    <x v="17"/>
    <n v="6300"/>
    <n v="1738800"/>
    <n v="1700"/>
    <n v="469200"/>
    <n v="4000"/>
    <n v="1104000"/>
    <n v="1500"/>
    <n v="414000"/>
    <n v="1200"/>
    <n v="331200"/>
    <n v="4429"/>
    <n v="1306429"/>
    <n v="3188"/>
    <n v="893938"/>
    <n v="280.40715181932245"/>
    <n v="4145"/>
    <n v="1162287.6442910915"/>
    <n v="4145"/>
    <n v="1162287.6442910915"/>
    <n v="4145"/>
    <n v="1162287.6442910915"/>
  </r>
  <r>
    <x v="0"/>
    <s v="LA RECETA Y CIA SAS"/>
    <s v="SEEDPACK"/>
    <x v="18"/>
    <x v="18"/>
    <n v="750"/>
    <n v="204750"/>
    <n v="0"/>
    <n v="0"/>
    <n v="500"/>
    <n v="136500"/>
    <n v="0"/>
    <n v="0"/>
    <n v="0"/>
    <n v="0"/>
    <n v="738"/>
    <n v="215524"/>
    <n v="331"/>
    <n v="92796"/>
    <n v="280.35045317220545"/>
    <n v="431"/>
    <n v="120831.04531722055"/>
    <n v="431"/>
    <n v="120831.04531722055"/>
    <n v="431"/>
    <n v="120831.04531722055"/>
  </r>
  <r>
    <x v="0"/>
    <s v="PACALTEX SGL S.A.S"/>
    <s v="OTROS"/>
    <x v="1"/>
    <x v="1"/>
    <n v="0"/>
    <n v="0"/>
    <n v="4850"/>
    <n v="3395000"/>
    <n v="0"/>
    <n v="0"/>
    <n v="0"/>
    <n v="0"/>
    <n v="0"/>
    <n v="0"/>
    <n v="0"/>
    <n v="0"/>
    <n v="808"/>
    <n v="565833"/>
    <n v="700.28836633663366"/>
    <n v="0"/>
    <n v="0"/>
    <n v="0"/>
    <n v="0"/>
    <n v="0"/>
    <n v="0"/>
  </r>
  <r>
    <x v="0"/>
    <s v="PILOTO SAS"/>
    <s v="Microcorrugado"/>
    <x v="19"/>
    <x v="19"/>
    <n v="0"/>
    <n v="0"/>
    <n v="0"/>
    <n v="0"/>
    <n v="0"/>
    <n v="0"/>
    <n v="14283"/>
    <n v="6398784"/>
    <n v="0"/>
    <n v="0"/>
    <n v="0"/>
    <n v="0"/>
    <n v="2380"/>
    <n v="1066464"/>
    <n v="448.09411764705885"/>
    <n v="3095"/>
    <n v="1386851.2941176472"/>
    <n v="3095"/>
    <n v="1386851.2941176472"/>
    <n v="3095"/>
    <n v="1386851.2941176472"/>
  </r>
  <r>
    <x v="0"/>
    <s v="PILOTO SAS"/>
    <s v="Microcorrugado"/>
    <x v="20"/>
    <x v="20"/>
    <n v="0"/>
    <n v="0"/>
    <n v="0"/>
    <n v="0"/>
    <n v="0"/>
    <n v="0"/>
    <n v="4050"/>
    <n v="2600100"/>
    <n v="0"/>
    <n v="0"/>
    <n v="0"/>
    <n v="0"/>
    <n v="675"/>
    <n v="433350"/>
    <n v="642"/>
    <n v="878"/>
    <n v="563676"/>
    <n v="878"/>
    <n v="563676"/>
    <n v="878"/>
    <n v="563676"/>
  </r>
  <r>
    <x v="0"/>
    <s v="PILOTO SAS"/>
    <s v="Microcorrugado"/>
    <x v="21"/>
    <x v="21"/>
    <n v="0"/>
    <n v="0"/>
    <n v="3182"/>
    <n v="1648276"/>
    <n v="0"/>
    <n v="0"/>
    <n v="1000"/>
    <n v="323000"/>
    <n v="0"/>
    <n v="0"/>
    <n v="0"/>
    <n v="0"/>
    <n v="697"/>
    <n v="328546"/>
    <n v="471.37159253945481"/>
    <n v="906"/>
    <n v="427062.66284074605"/>
    <n v="906"/>
    <n v="427062.66284074605"/>
    <n v="906"/>
    <n v="427062.66284074605"/>
  </r>
  <r>
    <x v="0"/>
    <s v="PILOTO SAS"/>
    <s v="Microcorrugado"/>
    <x v="22"/>
    <x v="22"/>
    <n v="0"/>
    <n v="0"/>
    <n v="0"/>
    <n v="0"/>
    <n v="0"/>
    <n v="0"/>
    <n v="0"/>
    <n v="0"/>
    <n v="0"/>
    <n v="0"/>
    <n v="1553"/>
    <n v="1635259"/>
    <n v="259"/>
    <n v="272543"/>
    <n v="1052.2895752895754"/>
    <n v="336"/>
    <n v="353569.29729729734"/>
    <n v="336"/>
    <n v="353569.29729729734"/>
    <n v="336"/>
    <n v="353569.29729729734"/>
  </r>
  <r>
    <x v="0"/>
    <s v="PILOTO SAS"/>
    <s v="Microcorrugado"/>
    <x v="23"/>
    <x v="23"/>
    <n v="0"/>
    <n v="0"/>
    <n v="0"/>
    <n v="0"/>
    <n v="0"/>
    <n v="0"/>
    <n v="2020"/>
    <n v="1151400"/>
    <n v="0"/>
    <n v="0"/>
    <n v="0"/>
    <n v="0"/>
    <n v="337"/>
    <n v="191900"/>
    <n v="569.43620178041544"/>
    <n v="438"/>
    <n v="249413.05637982197"/>
    <n v="438"/>
    <n v="249413.05637982197"/>
    <n v="438"/>
    <n v="249413.05637982197"/>
  </r>
  <r>
    <x v="0"/>
    <s v="PILOTO SAS"/>
    <s v="Microcorrugado"/>
    <x v="24"/>
    <x v="24"/>
    <n v="0"/>
    <n v="0"/>
    <n v="0"/>
    <n v="0"/>
    <n v="4130"/>
    <n v="6744290"/>
    <n v="0"/>
    <n v="0"/>
    <n v="0"/>
    <n v="0"/>
    <n v="0"/>
    <n v="0"/>
    <n v="688"/>
    <n v="1124048"/>
    <n v="1633.7906976744187"/>
    <n v="895"/>
    <n v="1462242.6744186047"/>
    <n v="895"/>
    <n v="1462242.6744186047"/>
    <n v="895"/>
    <n v="1462242.6744186047"/>
  </r>
  <r>
    <x v="0"/>
    <s v="PILOTO SAS"/>
    <s v="Microcorrugado"/>
    <x v="25"/>
    <x v="25"/>
    <n v="0"/>
    <n v="0"/>
    <n v="0"/>
    <n v="0"/>
    <n v="0"/>
    <n v="0"/>
    <n v="0"/>
    <n v="0"/>
    <n v="2095"/>
    <n v="1831030"/>
    <n v="0"/>
    <n v="0"/>
    <n v="349"/>
    <n v="305172"/>
    <n v="874.41833810888249"/>
    <n v="454"/>
    <n v="396985.92550143268"/>
    <n v="454"/>
    <n v="396985.92550143268"/>
    <n v="454"/>
    <n v="396985.92550143268"/>
  </r>
  <r>
    <x v="0"/>
    <s v="PILOTO SAS"/>
    <s v="Microcorrugado"/>
    <x v="26"/>
    <x v="26"/>
    <n v="0"/>
    <n v="0"/>
    <n v="0"/>
    <n v="0"/>
    <n v="0"/>
    <n v="0"/>
    <n v="1000"/>
    <n v="747000"/>
    <n v="0"/>
    <n v="0"/>
    <n v="0"/>
    <n v="0"/>
    <n v="167"/>
    <n v="124500"/>
    <n v="745.50898203592817"/>
    <n v="217"/>
    <n v="161775.4491017964"/>
    <n v="217"/>
    <n v="161775.4491017964"/>
    <n v="217"/>
    <n v="161775.4491017964"/>
  </r>
  <r>
    <x v="0"/>
    <s v="PILOTO SAS"/>
    <s v="Microcorrugado"/>
    <x v="27"/>
    <x v="27"/>
    <n v="0"/>
    <n v="0"/>
    <n v="0"/>
    <n v="0"/>
    <n v="3968"/>
    <n v="3662172"/>
    <n v="0"/>
    <n v="0"/>
    <n v="0"/>
    <n v="0"/>
    <n v="0"/>
    <n v="0"/>
    <n v="661"/>
    <n v="610362"/>
    <n v="923.39183055975798"/>
    <n v="860"/>
    <n v="794116.97428139183"/>
    <n v="860"/>
    <n v="794116.97428139183"/>
    <n v="860"/>
    <n v="794116.97428139183"/>
  </r>
  <r>
    <x v="0"/>
    <s v="PILOTO SAS"/>
    <s v="Microcorrugado"/>
    <x v="28"/>
    <x v="28"/>
    <n v="0"/>
    <n v="0"/>
    <n v="0"/>
    <n v="0"/>
    <n v="0"/>
    <n v="0"/>
    <n v="2861"/>
    <n v="3029799"/>
    <n v="0"/>
    <n v="0"/>
    <n v="0"/>
    <n v="0"/>
    <n v="477"/>
    <n v="504966"/>
    <n v="1058.6289308176101"/>
    <n v="620"/>
    <n v="656349.93710691831"/>
    <n v="620"/>
    <n v="656349.93710691831"/>
    <n v="620"/>
    <n v="656349.93710691831"/>
  </r>
  <r>
    <x v="0"/>
    <s v="PILOTO SAS"/>
    <s v="Microcorrugado"/>
    <x v="29"/>
    <x v="29"/>
    <n v="1000"/>
    <n v="1466000"/>
    <n v="0"/>
    <n v="0"/>
    <n v="0"/>
    <n v="0"/>
    <n v="0"/>
    <n v="0"/>
    <n v="0"/>
    <n v="0"/>
    <n v="0"/>
    <n v="0"/>
    <n v="167"/>
    <n v="244333"/>
    <n v="1463.0718562874251"/>
    <n v="217"/>
    <n v="317486.59281437128"/>
    <n v="217"/>
    <n v="317486.59281437128"/>
    <n v="217"/>
    <n v="317486.59281437128"/>
  </r>
  <r>
    <x v="0"/>
    <s v="PILOTO SAS"/>
    <s v="Microcorrugado"/>
    <x v="30"/>
    <x v="30"/>
    <n v="1000"/>
    <n v="1792000"/>
    <n v="0"/>
    <n v="0"/>
    <n v="0"/>
    <n v="0"/>
    <n v="0"/>
    <n v="0"/>
    <n v="0"/>
    <n v="0"/>
    <n v="0"/>
    <n v="0"/>
    <n v="167"/>
    <n v="298667"/>
    <n v="1788.4251497005987"/>
    <n v="217"/>
    <n v="388088.25748502993"/>
    <n v="217"/>
    <n v="388088.25748502993"/>
    <n v="217"/>
    <n v="388088.25748502993"/>
  </r>
  <r>
    <x v="0"/>
    <s v="PILOTO SAS"/>
    <s v="Microcorrugado"/>
    <x v="31"/>
    <x v="31"/>
    <n v="0"/>
    <n v="0"/>
    <n v="0"/>
    <n v="0"/>
    <n v="0"/>
    <n v="0"/>
    <n v="0"/>
    <n v="0"/>
    <n v="1000"/>
    <n v="617000"/>
    <n v="0"/>
    <n v="0"/>
    <n v="167"/>
    <n v="102833"/>
    <n v="615.76646706586826"/>
    <n v="217"/>
    <n v="133621.32335329341"/>
    <n v="217"/>
    <n v="133621.32335329341"/>
    <n v="217"/>
    <n v="133621.32335329341"/>
  </r>
  <r>
    <x v="0"/>
    <s v="PILOTO SAS"/>
    <s v="Microcorrugado"/>
    <x v="32"/>
    <x v="32"/>
    <n v="0"/>
    <n v="0"/>
    <n v="0"/>
    <n v="0"/>
    <n v="3178"/>
    <n v="1585822"/>
    <n v="0"/>
    <n v="0"/>
    <n v="0"/>
    <n v="0"/>
    <n v="0"/>
    <n v="0"/>
    <n v="530"/>
    <n v="264304"/>
    <n v="498.68679245283016"/>
    <n v="689"/>
    <n v="343595.19999999995"/>
    <n v="689"/>
    <n v="343595.19999999995"/>
    <n v="689"/>
    <n v="343595.19999999995"/>
  </r>
  <r>
    <x v="0"/>
    <s v="PILOTO SAS"/>
    <s v="Microcorrugado"/>
    <x v="33"/>
    <x v="33"/>
    <n v="0"/>
    <n v="0"/>
    <n v="0"/>
    <n v="0"/>
    <n v="0"/>
    <n v="0"/>
    <n v="5404"/>
    <n v="2988412"/>
    <n v="0"/>
    <n v="0"/>
    <n v="0"/>
    <n v="0"/>
    <n v="901"/>
    <n v="498069"/>
    <n v="552.79578246392896"/>
    <n v="1171"/>
    <n v="647323.86126526084"/>
    <n v="1171"/>
    <n v="647323.86126526084"/>
    <n v="1171"/>
    <n v="647323.86126526084"/>
  </r>
  <r>
    <x v="0"/>
    <s v="PILOTO SAS"/>
    <s v="Microcorrugado"/>
    <x v="34"/>
    <x v="34"/>
    <n v="0"/>
    <n v="0"/>
    <n v="0"/>
    <n v="0"/>
    <n v="0"/>
    <n v="0"/>
    <n v="0"/>
    <n v="0"/>
    <n v="0"/>
    <n v="0"/>
    <n v="4815"/>
    <n v="2085039"/>
    <n v="803"/>
    <n v="347507"/>
    <n v="432.76089663760899"/>
    <n v="1043"/>
    <n v="451369.6151930262"/>
    <n v="1043"/>
    <n v="451369.6151930262"/>
    <n v="1043"/>
    <n v="451369.6151930262"/>
  </r>
  <r>
    <x v="0"/>
    <s v="PILOTO SAS"/>
    <s v="Microcorrugado"/>
    <x v="35"/>
    <x v="35"/>
    <n v="0"/>
    <n v="0"/>
    <n v="3262"/>
    <n v="1412446"/>
    <n v="0"/>
    <n v="0"/>
    <n v="0"/>
    <n v="0"/>
    <n v="0"/>
    <n v="0"/>
    <n v="0"/>
    <n v="0"/>
    <n v="544"/>
    <n v="235408"/>
    <n v="432.73529411764707"/>
    <n v="707"/>
    <n v="305943.8529411765"/>
    <n v="707"/>
    <n v="305943.8529411765"/>
    <n v="707"/>
    <n v="305943.8529411765"/>
  </r>
  <r>
    <x v="0"/>
    <s v="PILOTO SAS"/>
    <s v="Microcorrugado"/>
    <x v="36"/>
    <x v="36"/>
    <n v="0"/>
    <n v="0"/>
    <n v="0"/>
    <n v="0"/>
    <n v="0"/>
    <n v="0"/>
    <n v="1553"/>
    <n v="1082441"/>
    <n v="0"/>
    <n v="0"/>
    <n v="0"/>
    <n v="0"/>
    <n v="259"/>
    <n v="180407"/>
    <n v="696.55212355212359"/>
    <n v="336"/>
    <n v="234041.51351351352"/>
    <n v="336"/>
    <n v="234041.51351351352"/>
    <n v="336"/>
    <n v="234041.51351351352"/>
  </r>
  <r>
    <x v="0"/>
    <s v="PILOTO SAS"/>
    <s v="Microcorrugado"/>
    <x v="37"/>
    <x v="37"/>
    <n v="0"/>
    <n v="0"/>
    <n v="2702"/>
    <n v="1572564"/>
    <n v="0"/>
    <n v="0"/>
    <n v="0"/>
    <n v="0"/>
    <n v="0"/>
    <n v="0"/>
    <n v="0"/>
    <n v="0"/>
    <n v="450"/>
    <n v="262094"/>
    <n v="582.43111111111114"/>
    <n v="585"/>
    <n v="340722.2"/>
    <n v="585"/>
    <n v="340722.2"/>
    <n v="585"/>
    <n v="340722.2"/>
  </r>
  <r>
    <x v="0"/>
    <s v="PILOTO SAS"/>
    <s v="Microcorrugado"/>
    <x v="38"/>
    <x v="38"/>
    <n v="1000"/>
    <n v="977000"/>
    <n v="0"/>
    <n v="0"/>
    <n v="0"/>
    <n v="0"/>
    <n v="0"/>
    <n v="0"/>
    <n v="0"/>
    <n v="0"/>
    <n v="0"/>
    <n v="0"/>
    <n v="167"/>
    <n v="162833"/>
    <n v="975.04790419161679"/>
    <n v="217"/>
    <n v="211585.39520958083"/>
    <n v="217"/>
    <n v="211585.39520958083"/>
    <n v="217"/>
    <n v="211585.39520958083"/>
  </r>
  <r>
    <x v="0"/>
    <s v="PILOTO SAS"/>
    <s v="Microcorrugado"/>
    <x v="39"/>
    <x v="39"/>
    <n v="1000"/>
    <n v="880000"/>
    <n v="0"/>
    <n v="0"/>
    <n v="0"/>
    <n v="0"/>
    <n v="0"/>
    <n v="0"/>
    <n v="0"/>
    <n v="0"/>
    <n v="0"/>
    <n v="0"/>
    <n v="167"/>
    <n v="146667"/>
    <n v="878.24550898203597"/>
    <n v="217"/>
    <n v="190579.27544910181"/>
    <n v="217"/>
    <n v="190579.27544910181"/>
    <n v="217"/>
    <n v="190579.27544910181"/>
  </r>
  <r>
    <x v="0"/>
    <s v="PILOTO SAS"/>
    <s v="Microcorrugado"/>
    <x v="40"/>
    <x v="40"/>
    <n v="0"/>
    <n v="0"/>
    <n v="0"/>
    <n v="0"/>
    <n v="0"/>
    <n v="0"/>
    <n v="0"/>
    <n v="0"/>
    <n v="3235"/>
    <n v="3027960"/>
    <n v="0"/>
    <n v="0"/>
    <n v="539"/>
    <n v="504660"/>
    <n v="936.28942486085339"/>
    <n v="701"/>
    <n v="656338.88682745828"/>
    <n v="701"/>
    <n v="656338.88682745828"/>
    <n v="701"/>
    <n v="656338.88682745828"/>
  </r>
  <r>
    <x v="0"/>
    <s v="PILOTO SAS"/>
    <s v="Microcorrugado"/>
    <x v="41"/>
    <x v="41"/>
    <n v="0"/>
    <n v="0"/>
    <n v="0"/>
    <n v="0"/>
    <n v="0"/>
    <n v="0"/>
    <n v="1072"/>
    <n v="460960"/>
    <n v="0"/>
    <n v="0"/>
    <n v="0"/>
    <n v="0"/>
    <n v="179"/>
    <n v="76827"/>
    <n v="429.20111731843576"/>
    <n v="232"/>
    <n v="99574.659217877095"/>
    <n v="232"/>
    <n v="99574.659217877095"/>
    <n v="232"/>
    <n v="99574.659217877095"/>
  </r>
  <r>
    <x v="0"/>
    <s v="PILOTO SAS"/>
    <s v="Microcorrugado"/>
    <x v="42"/>
    <x v="42"/>
    <n v="0"/>
    <n v="0"/>
    <n v="1010"/>
    <n v="645390"/>
    <n v="0"/>
    <n v="0"/>
    <n v="0"/>
    <n v="0"/>
    <n v="0"/>
    <n v="0"/>
    <n v="0"/>
    <n v="0"/>
    <n v="168"/>
    <n v="107565"/>
    <n v="640.26785714285711"/>
    <n v="219"/>
    <n v="140218.66071428571"/>
    <n v="219"/>
    <n v="140218.66071428571"/>
    <n v="219"/>
    <n v="140218.66071428571"/>
  </r>
  <r>
    <x v="0"/>
    <s v="PILOTO SAS"/>
    <s v="Microcorrugado"/>
    <x v="43"/>
    <x v="43"/>
    <n v="1000"/>
    <n v="1140000"/>
    <n v="0"/>
    <n v="0"/>
    <n v="0"/>
    <n v="0"/>
    <n v="1000"/>
    <n v="1098000"/>
    <n v="0"/>
    <n v="0"/>
    <n v="0"/>
    <n v="0"/>
    <n v="333"/>
    <n v="373000"/>
    <n v="1120.1201201201202"/>
    <n v="433"/>
    <n v="485012.01201201207"/>
    <n v="433"/>
    <n v="485012.01201201207"/>
    <n v="433"/>
    <n v="485012.01201201207"/>
  </r>
  <r>
    <x v="0"/>
    <s v="PILOTO SAS"/>
    <s v="Microcorrugado"/>
    <x v="44"/>
    <x v="44"/>
    <n v="0"/>
    <n v="0"/>
    <n v="0"/>
    <n v="0"/>
    <n v="0"/>
    <n v="0"/>
    <n v="1000"/>
    <n v="854000"/>
    <n v="0"/>
    <n v="0"/>
    <n v="0"/>
    <n v="0"/>
    <n v="167"/>
    <n v="142333"/>
    <n v="852.29341317365265"/>
    <n v="217"/>
    <n v="184947.67065868262"/>
    <n v="217"/>
    <n v="184947.67065868262"/>
    <n v="217"/>
    <n v="184947.67065868262"/>
  </r>
  <r>
    <x v="0"/>
    <s v="PILOTO SAS"/>
    <s v="Microcorrugado"/>
    <x v="45"/>
    <x v="45"/>
    <n v="1000"/>
    <n v="1026000"/>
    <n v="0"/>
    <n v="0"/>
    <n v="0"/>
    <n v="0"/>
    <n v="1000"/>
    <n v="1220000"/>
    <n v="0"/>
    <n v="0"/>
    <n v="0"/>
    <n v="0"/>
    <n v="333"/>
    <n v="374333"/>
    <n v="1124.1231231231232"/>
    <n v="433"/>
    <n v="486745.31231231231"/>
    <n v="433"/>
    <n v="486745.31231231231"/>
    <n v="433"/>
    <n v="486745.31231231231"/>
  </r>
  <r>
    <x v="0"/>
    <s v="PILOTO SAS"/>
    <s v="Microcorrugado"/>
    <x v="46"/>
    <x v="46"/>
    <n v="0"/>
    <n v="0"/>
    <n v="0"/>
    <n v="0"/>
    <n v="0"/>
    <n v="0"/>
    <n v="2020"/>
    <n v="1755380"/>
    <n v="0"/>
    <n v="0"/>
    <n v="0"/>
    <n v="0"/>
    <n v="337"/>
    <n v="292563"/>
    <n v="868.13946587537089"/>
    <n v="438"/>
    <n v="380245.08605341247"/>
    <n v="438"/>
    <n v="380245.08605341247"/>
    <n v="438"/>
    <n v="380245.08605341247"/>
  </r>
  <r>
    <x v="0"/>
    <s v="PILOTO SAS"/>
    <s v="Microcorrugado"/>
    <x v="47"/>
    <x v="47"/>
    <n v="1000"/>
    <n v="1540000"/>
    <n v="0"/>
    <n v="0"/>
    <n v="0"/>
    <n v="0"/>
    <n v="1000"/>
    <n v="1647000"/>
    <n v="0"/>
    <n v="0"/>
    <n v="0"/>
    <n v="0"/>
    <n v="333"/>
    <n v="531167"/>
    <n v="1595.0960960960961"/>
    <n v="433"/>
    <n v="690676.60960960959"/>
    <n v="433"/>
    <n v="690676.60960960959"/>
    <n v="433"/>
    <n v="690676.60960960959"/>
  </r>
  <r>
    <x v="0"/>
    <s v="PILOTO SAS"/>
    <s v="Microcorrugado"/>
    <x v="48"/>
    <x v="48"/>
    <n v="0"/>
    <n v="0"/>
    <n v="0"/>
    <n v="0"/>
    <n v="0"/>
    <n v="0"/>
    <n v="8672"/>
    <n v="3989120"/>
    <n v="0"/>
    <n v="0"/>
    <n v="0"/>
    <n v="0"/>
    <n v="1445"/>
    <n v="664853"/>
    <n v="460.10588235294119"/>
    <n v="1879"/>
    <n v="864538.95294117648"/>
    <n v="1879"/>
    <n v="864538.95294117648"/>
    <n v="1879"/>
    <n v="864538.95294117648"/>
  </r>
  <r>
    <x v="0"/>
    <s v="PILOTO SAS"/>
    <s v="SERVICIO"/>
    <x v="6"/>
    <x v="6"/>
    <n v="61492"/>
    <n v="24166356"/>
    <n v="39534"/>
    <n v="15606482"/>
    <n v="108097"/>
    <n v="46953479"/>
    <n v="57913"/>
    <n v="26337940"/>
    <n v="85659"/>
    <n v="39629478"/>
    <n v="159080"/>
    <n v="71391252"/>
    <n v="85296"/>
    <n v="37347498"/>
    <n v="437.85755486775463"/>
    <n v="110885"/>
    <n v="48551834.971510969"/>
    <n v="110885"/>
    <n v="48551834.971510969"/>
    <n v="110885"/>
    <n v="48551834.971510969"/>
  </r>
  <r>
    <x v="0"/>
    <s v="PRODUCTORA DE MANTOS Y TELAS S.A.S"/>
    <s v="SEEDPACK"/>
    <x v="49"/>
    <x v="49"/>
    <n v="0"/>
    <n v="0"/>
    <n v="0"/>
    <n v="0"/>
    <n v="0"/>
    <n v="0"/>
    <n v="0"/>
    <n v="0"/>
    <n v="0"/>
    <n v="0"/>
    <n v="12"/>
    <n v="14762"/>
    <n v="2"/>
    <n v="2460"/>
    <n v="1230"/>
    <n v="0"/>
    <n v="0"/>
    <n v="0"/>
    <n v="0"/>
    <n v="0"/>
    <n v="0"/>
  </r>
  <r>
    <x v="0"/>
    <s v="RENOMAX SAS"/>
    <s v="RETAL"/>
    <x v="0"/>
    <x v="0"/>
    <n v="20609"/>
    <n v="6182700"/>
    <n v="29272"/>
    <n v="7498500"/>
    <n v="20354"/>
    <n v="5088500"/>
    <n v="0"/>
    <n v="0"/>
    <n v="0"/>
    <n v="0"/>
    <n v="0"/>
    <n v="0"/>
    <n v="11706"/>
    <n v="3128283"/>
    <n v="267.23757047667863"/>
    <n v="15218"/>
    <n v="4066821.3475140953"/>
    <n v="15218"/>
    <n v="4066821.3475140953"/>
    <n v="15218"/>
    <n v="4066821.3475140953"/>
  </r>
  <r>
    <x v="0"/>
    <s v="TIPALMA SAS"/>
    <s v="Microcorrugado"/>
    <x v="50"/>
    <x v="50"/>
    <n v="0"/>
    <n v="0"/>
    <n v="4900"/>
    <n v="2455600"/>
    <n v="0"/>
    <n v="0"/>
    <n v="0"/>
    <n v="0"/>
    <n v="0"/>
    <n v="0"/>
    <n v="0"/>
    <n v="0"/>
    <n v="817"/>
    <n v="409267"/>
    <n v="500.93880048959608"/>
    <n v="1062"/>
    <n v="531997.00611995102"/>
    <n v="1062"/>
    <n v="531997.00611995102"/>
    <n v="1062"/>
    <n v="531997.00611995102"/>
  </r>
  <r>
    <x v="0"/>
    <s v="TIPALMA SAS"/>
    <s v="Microcorrugado"/>
    <x v="51"/>
    <x v="51"/>
    <n v="0"/>
    <n v="0"/>
    <n v="4900"/>
    <n v="3250800"/>
    <n v="0"/>
    <n v="0"/>
    <n v="0"/>
    <n v="0"/>
    <n v="0"/>
    <n v="0"/>
    <n v="0"/>
    <n v="0"/>
    <n v="817"/>
    <n v="541800"/>
    <n v="663.15789473684208"/>
    <n v="1062"/>
    <n v="704273.68421052629"/>
    <n v="1062"/>
    <n v="704273.68421052629"/>
    <n v="1062"/>
    <n v="704273.68421052629"/>
  </r>
  <r>
    <x v="0"/>
    <s v="TIPALMA SAS"/>
    <s v="Microcorrugado"/>
    <x v="52"/>
    <x v="52"/>
    <n v="0"/>
    <n v="0"/>
    <n v="4900"/>
    <n v="3315200"/>
    <n v="0"/>
    <n v="0"/>
    <n v="0"/>
    <n v="0"/>
    <n v="0"/>
    <n v="0"/>
    <n v="0"/>
    <n v="0"/>
    <n v="817"/>
    <n v="552533"/>
    <n v="676.29498164014683"/>
    <n v="1062"/>
    <n v="718225.27050183597"/>
    <n v="1062"/>
    <n v="718225.27050183597"/>
    <n v="1062"/>
    <n v="718225.27050183597"/>
  </r>
  <r>
    <x v="0"/>
    <s v="TIPALMA SAS"/>
    <s v="Microcorrugado"/>
    <x v="53"/>
    <x v="53"/>
    <n v="0"/>
    <n v="0"/>
    <n v="4900"/>
    <n v="3892000"/>
    <n v="0"/>
    <n v="0"/>
    <n v="0"/>
    <n v="0"/>
    <n v="0"/>
    <n v="0"/>
    <n v="0"/>
    <n v="0"/>
    <n v="817"/>
    <n v="648667"/>
    <n v="793.96205630354962"/>
    <n v="1062"/>
    <n v="843187.70379436971"/>
    <n v="1062"/>
    <n v="843187.70379436971"/>
    <n v="1062"/>
    <n v="843187.70379436971"/>
  </r>
  <r>
    <x v="0"/>
    <s v="TIPALMA SAS"/>
    <s v="Microcorrugado"/>
    <x v="54"/>
    <x v="54"/>
    <n v="0"/>
    <n v="0"/>
    <n v="2900"/>
    <n v="1784900"/>
    <n v="0"/>
    <n v="0"/>
    <n v="0"/>
    <n v="0"/>
    <n v="0"/>
    <n v="0"/>
    <n v="0"/>
    <n v="0"/>
    <n v="483"/>
    <n v="297483"/>
    <n v="615.90683229813669"/>
    <n v="628"/>
    <n v="386789.49068322981"/>
    <n v="628"/>
    <n v="386789.49068322981"/>
    <n v="628"/>
    <n v="386789.49068322981"/>
  </r>
  <r>
    <x v="0"/>
    <s v="TIPALMA SAS"/>
    <s v="Microcorrugado"/>
    <x v="55"/>
    <x v="55"/>
    <n v="5600"/>
    <n v="4048800"/>
    <n v="0"/>
    <n v="0"/>
    <n v="0"/>
    <n v="0"/>
    <n v="0"/>
    <n v="0"/>
    <n v="0"/>
    <n v="0"/>
    <n v="0"/>
    <n v="0"/>
    <n v="933"/>
    <n v="674800"/>
    <n v="723.25830653804928"/>
    <n v="1213"/>
    <n v="877312.32583065378"/>
    <n v="1213"/>
    <n v="877312.32583065378"/>
    <n v="1213"/>
    <n v="877312.32583065378"/>
  </r>
  <r>
    <x v="0"/>
    <s v="TIPALMA SAS"/>
    <s v="Microcorrugado"/>
    <x v="56"/>
    <x v="56"/>
    <n v="0"/>
    <n v="0"/>
    <n v="0"/>
    <n v="0"/>
    <n v="0"/>
    <n v="0"/>
    <n v="0"/>
    <n v="0"/>
    <n v="21200"/>
    <n v="14946000"/>
    <n v="0"/>
    <n v="0"/>
    <n v="3533"/>
    <n v="2491000"/>
    <n v="705.0665157090292"/>
    <n v="4593"/>
    <n v="3238370.506651571"/>
    <n v="4593"/>
    <n v="3238370.506651571"/>
    <n v="4593"/>
    <n v="3238370.506651571"/>
  </r>
  <r>
    <x v="0"/>
    <s v="TIPALMA SAS"/>
    <s v="Microcorrugado"/>
    <x v="57"/>
    <x v="57"/>
    <n v="0"/>
    <n v="0"/>
    <n v="1400"/>
    <n v="2361800"/>
    <n v="1400"/>
    <n v="1867600"/>
    <n v="0"/>
    <n v="0"/>
    <n v="0"/>
    <n v="0"/>
    <n v="0"/>
    <n v="0"/>
    <n v="467"/>
    <n v="704900"/>
    <n v="1509.4218415417558"/>
    <n v="607"/>
    <n v="916219.05781584582"/>
    <n v="607"/>
    <n v="916219.05781584582"/>
    <n v="607"/>
    <n v="916219.05781584582"/>
  </r>
  <r>
    <x v="0"/>
    <s v="TIPALMA SAS"/>
    <s v="Microcorrugado"/>
    <x v="58"/>
    <x v="58"/>
    <n v="0"/>
    <n v="0"/>
    <n v="0"/>
    <n v="0"/>
    <n v="0"/>
    <n v="0"/>
    <n v="13937"/>
    <n v="5992910"/>
    <n v="26482"/>
    <n v="11387260"/>
    <n v="0"/>
    <n v="0"/>
    <n v="6736"/>
    <n v="2896695"/>
    <n v="430.03191805225651"/>
    <n v="8757"/>
    <n v="3765789.5063836104"/>
    <n v="8757"/>
    <n v="3765789.5063836104"/>
    <n v="8757"/>
    <n v="3765789.5063836104"/>
  </r>
  <r>
    <x v="0"/>
    <s v="TIPALMA SAS"/>
    <s v="Microcorrugado"/>
    <x v="59"/>
    <x v="59"/>
    <n v="0"/>
    <n v="0"/>
    <n v="6800"/>
    <n v="6868000"/>
    <n v="0"/>
    <n v="0"/>
    <n v="6800"/>
    <n v="7024400"/>
    <n v="13000"/>
    <n v="14625000"/>
    <n v="0"/>
    <n v="0"/>
    <n v="4433"/>
    <n v="4752900"/>
    <n v="1072.1633205504172"/>
    <n v="5763"/>
    <n v="6178877.2163320547"/>
    <n v="5763"/>
    <n v="6178877.2163320547"/>
    <n v="5763"/>
    <n v="6178877.2163320547"/>
  </r>
  <r>
    <x v="0"/>
    <s v="TIPALMA SAS"/>
    <s v="Microcorrugado"/>
    <x v="60"/>
    <x v="60"/>
    <n v="2000"/>
    <n v="4092000"/>
    <n v="0"/>
    <n v="0"/>
    <n v="0"/>
    <n v="0"/>
    <n v="0"/>
    <n v="0"/>
    <n v="0"/>
    <n v="0"/>
    <n v="38381"/>
    <n v="54462571"/>
    <n v="6730"/>
    <n v="9759095"/>
    <n v="1450.0884101040119"/>
    <n v="8749"/>
    <n v="12686823.5"/>
    <n v="8749"/>
    <n v="12686823.5"/>
    <n v="8749"/>
    <n v="12686823.5"/>
  </r>
  <r>
    <x v="0"/>
    <s v="TIPALMA SAS"/>
    <s v="Microcorrugado"/>
    <x v="61"/>
    <x v="61"/>
    <n v="11000"/>
    <n v="11814000"/>
    <n v="33600"/>
    <n v="33667200"/>
    <n v="0"/>
    <n v="0"/>
    <n v="0"/>
    <n v="0"/>
    <n v="5400"/>
    <n v="6917400"/>
    <n v="0"/>
    <n v="0"/>
    <n v="8333"/>
    <n v="8733100"/>
    <n v="1048.0139205568223"/>
    <n v="10833"/>
    <n v="11353134.801392056"/>
    <n v="10833"/>
    <n v="11353134.801392056"/>
    <n v="10833"/>
    <n v="11353134.801392056"/>
  </r>
  <r>
    <x v="0"/>
    <s v="TIPALMA SAS"/>
    <s v="Microcorrugado"/>
    <x v="62"/>
    <x v="62"/>
    <n v="0"/>
    <n v="0"/>
    <n v="13000"/>
    <n v="10036000"/>
    <n v="0"/>
    <n v="0"/>
    <n v="0"/>
    <n v="0"/>
    <n v="13000"/>
    <n v="11128000"/>
    <n v="0"/>
    <n v="0"/>
    <n v="4333"/>
    <n v="3527333"/>
    <n v="814.06254327255942"/>
    <n v="5633"/>
    <n v="4585614.3062543273"/>
    <n v="5633"/>
    <n v="4585614.3062543273"/>
    <n v="5633"/>
    <n v="4585614.3062543273"/>
  </r>
  <r>
    <x v="0"/>
    <s v="TIPALMA SAS"/>
    <s v="Microcorrugado"/>
    <x v="63"/>
    <x v="63"/>
    <n v="0"/>
    <n v="0"/>
    <n v="1400"/>
    <n v="2221800"/>
    <n v="0"/>
    <n v="0"/>
    <n v="1400"/>
    <n v="2377200"/>
    <n v="0"/>
    <n v="0"/>
    <n v="0"/>
    <n v="0"/>
    <n v="467"/>
    <n v="766500"/>
    <n v="1641.3276231263383"/>
    <n v="607"/>
    <n v="996285.86723768734"/>
    <n v="607"/>
    <n v="996285.86723768734"/>
    <n v="607"/>
    <n v="996285.86723768734"/>
  </r>
  <r>
    <x v="0"/>
    <s v="TIPALMA SAS"/>
    <s v="Microcorrugado"/>
    <x v="64"/>
    <x v="64"/>
    <n v="0"/>
    <n v="0"/>
    <n v="0"/>
    <n v="0"/>
    <n v="21000"/>
    <n v="14322000"/>
    <n v="0"/>
    <n v="0"/>
    <n v="0"/>
    <n v="0"/>
    <n v="0"/>
    <n v="0"/>
    <n v="3500"/>
    <n v="2387000"/>
    <n v="682"/>
    <n v="4550"/>
    <n v="3103100"/>
    <n v="4550"/>
    <n v="3103100"/>
    <n v="4550"/>
    <n v="3103100"/>
  </r>
  <r>
    <x v="0"/>
    <s v="TIPALMA SAS"/>
    <s v="Microcorrugado"/>
    <x v="65"/>
    <x v="65"/>
    <n v="0"/>
    <n v="0"/>
    <n v="0"/>
    <n v="0"/>
    <n v="0"/>
    <n v="0"/>
    <n v="55300"/>
    <n v="23170700"/>
    <n v="31432"/>
    <n v="13170008"/>
    <n v="0"/>
    <n v="0"/>
    <n v="14455"/>
    <n v="6056785"/>
    <n v="419.00968523002422"/>
    <n v="18792"/>
    <n v="7874030.0048426148"/>
    <n v="18792"/>
    <n v="7874030.0048426148"/>
    <n v="18792"/>
    <n v="7874030.0048426148"/>
  </r>
  <r>
    <x v="0"/>
    <s v="TIPALMA SAS"/>
    <s v="Microcorrugado"/>
    <x v="66"/>
    <x v="66"/>
    <n v="4500"/>
    <n v="4594500"/>
    <n v="7600"/>
    <n v="7759600"/>
    <n v="0"/>
    <n v="0"/>
    <n v="2400"/>
    <n v="2419200"/>
    <n v="1400"/>
    <n v="1584800"/>
    <n v="0"/>
    <n v="0"/>
    <n v="2650"/>
    <n v="2726350"/>
    <n v="1028.8113207547169"/>
    <n v="3445"/>
    <n v="3544255"/>
    <n v="3445"/>
    <n v="3544255"/>
    <n v="3445"/>
    <n v="3544255"/>
  </r>
  <r>
    <x v="0"/>
    <s v="TIPALMA SAS"/>
    <s v="Microcorrugado"/>
    <x v="67"/>
    <x v="67"/>
    <n v="0"/>
    <n v="0"/>
    <n v="0"/>
    <n v="0"/>
    <n v="5400"/>
    <n v="4860000"/>
    <n v="0"/>
    <n v="0"/>
    <n v="0"/>
    <n v="0"/>
    <n v="0"/>
    <n v="0"/>
    <n v="900"/>
    <n v="810000"/>
    <n v="900"/>
    <n v="1170"/>
    <n v="1053000"/>
    <n v="1170"/>
    <n v="1053000"/>
    <n v="1170"/>
    <n v="1053000"/>
  </r>
  <r>
    <x v="0"/>
    <s v="TIPALMA SAS"/>
    <s v="Microcorrugado"/>
    <x v="68"/>
    <x v="68"/>
    <n v="0"/>
    <n v="0"/>
    <n v="1300"/>
    <n v="2944500"/>
    <n v="0"/>
    <n v="0"/>
    <n v="0"/>
    <n v="0"/>
    <n v="0"/>
    <n v="0"/>
    <n v="0"/>
    <n v="0"/>
    <n v="217"/>
    <n v="490750"/>
    <n v="2261.5207373271887"/>
    <n v="282"/>
    <n v="637748.84792626719"/>
    <n v="282"/>
    <n v="637748.84792626719"/>
    <n v="282"/>
    <n v="637748.84792626719"/>
  </r>
  <r>
    <x v="0"/>
    <s v="TIPALMA SAS"/>
    <s v="Microcorrugado"/>
    <x v="69"/>
    <x v="69"/>
    <n v="0"/>
    <n v="0"/>
    <n v="0"/>
    <n v="0"/>
    <n v="0"/>
    <n v="0"/>
    <n v="12500"/>
    <n v="14225000"/>
    <n v="4000"/>
    <n v="6020000"/>
    <n v="6495"/>
    <n v="9775333"/>
    <n v="3833"/>
    <n v="5003389"/>
    <n v="1305.3454213409861"/>
    <n v="4982"/>
    <n v="6503230.889120793"/>
    <n v="4982"/>
    <n v="6503230.889120793"/>
    <n v="4982"/>
    <n v="6503230.889120793"/>
  </r>
  <r>
    <x v="0"/>
    <s v="TIPALMA SAS"/>
    <s v="Microcorrugado"/>
    <x v="70"/>
    <x v="70"/>
    <n v="10000"/>
    <n v="11060000"/>
    <n v="0"/>
    <n v="0"/>
    <n v="0"/>
    <n v="0"/>
    <n v="12073"/>
    <n v="5191390"/>
    <n v="8811"/>
    <n v="3788730"/>
    <n v="0"/>
    <n v="0"/>
    <n v="5147"/>
    <n v="3340020"/>
    <n v="648.92558772100256"/>
    <n v="6692"/>
    <n v="4342610.0330289491"/>
    <n v="6692"/>
    <n v="4342610.0330289491"/>
    <n v="6692"/>
    <n v="4342610.0330289491"/>
  </r>
  <r>
    <x v="0"/>
    <s v="TIPALMA SAS"/>
    <s v="Microcorrugado"/>
    <x v="71"/>
    <x v="71"/>
    <n v="0"/>
    <n v="0"/>
    <n v="8400"/>
    <n v="11415600"/>
    <n v="5400"/>
    <n v="8127000"/>
    <n v="0"/>
    <n v="0"/>
    <n v="0"/>
    <n v="0"/>
    <n v="0"/>
    <n v="0"/>
    <n v="2300"/>
    <n v="3257100"/>
    <n v="1416.1304347826087"/>
    <n v="2990"/>
    <n v="4234230"/>
    <n v="2990"/>
    <n v="4234230"/>
    <n v="2990"/>
    <n v="4234230"/>
  </r>
  <r>
    <x v="0"/>
    <s v="TIPALMA SAS"/>
    <s v="Microcorrugado"/>
    <x v="72"/>
    <x v="72"/>
    <n v="0"/>
    <n v="0"/>
    <n v="0"/>
    <n v="0"/>
    <n v="2400"/>
    <n v="1248000"/>
    <n v="0"/>
    <n v="0"/>
    <n v="0"/>
    <n v="0"/>
    <n v="0"/>
    <n v="0"/>
    <n v="400"/>
    <n v="208000"/>
    <n v="520"/>
    <n v="520"/>
    <n v="270400"/>
    <n v="520"/>
    <n v="270400"/>
    <n v="520"/>
    <n v="270400"/>
  </r>
  <r>
    <x v="0"/>
    <s v="TIPALMA SAS"/>
    <s v="Microcorrugado"/>
    <x v="73"/>
    <x v="73"/>
    <n v="0"/>
    <n v="0"/>
    <n v="0"/>
    <n v="0"/>
    <n v="2800"/>
    <n v="1383200"/>
    <n v="0"/>
    <n v="0"/>
    <n v="0"/>
    <n v="0"/>
    <n v="0"/>
    <n v="0"/>
    <n v="467"/>
    <n v="230533"/>
    <n v="493.64668094218416"/>
    <n v="607"/>
    <n v="299643.53533190576"/>
    <n v="607"/>
    <n v="299643.53533190576"/>
    <n v="607"/>
    <n v="299643.53533190576"/>
  </r>
  <r>
    <x v="0"/>
    <s v="TIPALMA SAS"/>
    <s v="Microcorrugado"/>
    <x v="74"/>
    <x v="74"/>
    <n v="0"/>
    <n v="0"/>
    <n v="0"/>
    <n v="0"/>
    <n v="1600"/>
    <n v="644800"/>
    <n v="0"/>
    <n v="0"/>
    <n v="0"/>
    <n v="0"/>
    <n v="0"/>
    <n v="0"/>
    <n v="267"/>
    <n v="107467"/>
    <n v="402.49812734082394"/>
    <n v="347"/>
    <n v="139666.8501872659"/>
    <n v="347"/>
    <n v="139666.8501872659"/>
    <n v="347"/>
    <n v="139666.8501872659"/>
  </r>
  <r>
    <x v="0"/>
    <s v="TIPALMA SAS"/>
    <s v="Microcorrugado"/>
    <x v="75"/>
    <x v="75"/>
    <n v="4200"/>
    <n v="2541000"/>
    <n v="0"/>
    <n v="0"/>
    <n v="0"/>
    <n v="0"/>
    <n v="0"/>
    <n v="0"/>
    <n v="0"/>
    <n v="0"/>
    <n v="0"/>
    <n v="0"/>
    <n v="700"/>
    <n v="423500"/>
    <n v="605"/>
    <n v="910"/>
    <n v="550550"/>
    <n v="910"/>
    <n v="550550"/>
    <n v="910"/>
    <n v="550550"/>
  </r>
  <r>
    <x v="0"/>
    <s v="TIPALMA SAS"/>
    <s v="Microcorrugado"/>
    <x v="76"/>
    <x v="76"/>
    <n v="12600"/>
    <n v="10193400"/>
    <n v="0"/>
    <n v="0"/>
    <n v="0"/>
    <n v="0"/>
    <n v="0"/>
    <n v="0"/>
    <n v="10292"/>
    <n v="4368954"/>
    <n v="0"/>
    <n v="0"/>
    <n v="3815"/>
    <n v="2427059"/>
    <n v="636.18846657929225"/>
    <n v="4960"/>
    <n v="3155494.7942332895"/>
    <n v="4960"/>
    <n v="3155494.7942332895"/>
    <n v="4960"/>
    <n v="3155494.7942332895"/>
  </r>
  <r>
    <x v="0"/>
    <s v="TIPALMA SAS"/>
    <s v="Microcorrugado"/>
    <x v="77"/>
    <x v="77"/>
    <n v="0"/>
    <n v="0"/>
    <n v="10600"/>
    <n v="7992400"/>
    <n v="0"/>
    <n v="0"/>
    <n v="0"/>
    <n v="0"/>
    <n v="0"/>
    <n v="0"/>
    <n v="0"/>
    <n v="0"/>
    <n v="1767"/>
    <n v="1332067"/>
    <n v="753.85795132993769"/>
    <n v="2297"/>
    <n v="1731611.7142048669"/>
    <n v="2297"/>
    <n v="1731611.7142048669"/>
    <n v="2297"/>
    <n v="1731611.7142048669"/>
  </r>
  <r>
    <x v="0"/>
    <s v="TIPALMA SAS"/>
    <s v="Microcorrugado"/>
    <x v="78"/>
    <x v="78"/>
    <n v="0"/>
    <n v="0"/>
    <n v="0"/>
    <n v="0"/>
    <n v="2800"/>
    <n v="1870400"/>
    <n v="0"/>
    <n v="0"/>
    <n v="0"/>
    <n v="0"/>
    <n v="0"/>
    <n v="0"/>
    <n v="467"/>
    <n v="311733"/>
    <n v="667.52248394004278"/>
    <n v="607"/>
    <n v="405186.14775160595"/>
    <n v="607"/>
    <n v="405186.14775160595"/>
    <n v="607"/>
    <n v="405186.14775160595"/>
  </r>
  <r>
    <x v="0"/>
    <s v="TIPALMA SAS"/>
    <s v="Microcorrugado"/>
    <x v="79"/>
    <x v="79"/>
    <n v="5500"/>
    <n v="5478000"/>
    <n v="0"/>
    <n v="0"/>
    <n v="0"/>
    <n v="0"/>
    <n v="0"/>
    <n v="0"/>
    <n v="0"/>
    <n v="0"/>
    <n v="0"/>
    <n v="0"/>
    <n v="917"/>
    <n v="913000"/>
    <n v="995.6379498364231"/>
    <n v="1192"/>
    <n v="1186800.4362050164"/>
    <n v="1192"/>
    <n v="1186800.4362050164"/>
    <n v="1192"/>
    <n v="1186800.4362050164"/>
  </r>
  <r>
    <x v="0"/>
    <s v="TIPALMA SAS"/>
    <s v="Microcorrugado"/>
    <x v="80"/>
    <x v="80"/>
    <n v="0"/>
    <n v="0"/>
    <n v="0"/>
    <n v="0"/>
    <n v="1600"/>
    <n v="811200"/>
    <n v="0"/>
    <n v="0"/>
    <n v="1500"/>
    <n v="760500"/>
    <n v="0"/>
    <n v="0"/>
    <n v="517"/>
    <n v="261950"/>
    <n v="506.67311411992262"/>
    <n v="672"/>
    <n v="340484.33268858801"/>
    <n v="672"/>
    <n v="340484.33268858801"/>
    <n v="672"/>
    <n v="340484.33268858801"/>
  </r>
  <r>
    <x v="0"/>
    <s v="TIPALMA SAS"/>
    <s v="Microcorrugado"/>
    <x v="81"/>
    <x v="81"/>
    <n v="0"/>
    <n v="0"/>
    <n v="0"/>
    <n v="0"/>
    <n v="0"/>
    <n v="0"/>
    <n v="0"/>
    <n v="0"/>
    <n v="12285"/>
    <n v="5282550"/>
    <n v="0"/>
    <n v="0"/>
    <n v="2048"/>
    <n v="880425"/>
    <n v="429.89501953125"/>
    <n v="2662"/>
    <n v="1144380.5419921875"/>
    <n v="2662"/>
    <n v="1144380.5419921875"/>
    <n v="2662"/>
    <n v="1144380.5419921875"/>
  </r>
  <r>
    <x v="0"/>
    <s v="TIPALMA SAS"/>
    <s v="Microcorrugado"/>
    <x v="82"/>
    <x v="82"/>
    <n v="0"/>
    <n v="0"/>
    <n v="2500"/>
    <n v="2190000"/>
    <n v="0"/>
    <n v="0"/>
    <n v="0"/>
    <n v="0"/>
    <n v="0"/>
    <n v="0"/>
    <n v="0"/>
    <n v="0"/>
    <n v="417"/>
    <n v="365000"/>
    <n v="875.29976019184653"/>
    <n v="542"/>
    <n v="474412.47002398083"/>
    <n v="542"/>
    <n v="474412.47002398083"/>
    <n v="542"/>
    <n v="474412.47002398083"/>
  </r>
  <r>
    <x v="0"/>
    <s v="TIPALMA SAS"/>
    <s v="Microcorrugado"/>
    <x v="83"/>
    <x v="83"/>
    <n v="0"/>
    <n v="0"/>
    <n v="0"/>
    <n v="0"/>
    <n v="1600"/>
    <n v="961600"/>
    <n v="0"/>
    <n v="0"/>
    <n v="0"/>
    <n v="0"/>
    <n v="0"/>
    <n v="0"/>
    <n v="267"/>
    <n v="160267"/>
    <n v="600.25093632958806"/>
    <n v="347"/>
    <n v="208287.07490636705"/>
    <n v="347"/>
    <n v="208287.07490636705"/>
    <n v="347"/>
    <n v="208287.07490636705"/>
  </r>
  <r>
    <x v="0"/>
    <s v="TIPALMA SAS"/>
    <s v="Microcorrugado"/>
    <x v="84"/>
    <x v="84"/>
    <n v="0"/>
    <n v="0"/>
    <n v="3400"/>
    <n v="2896800"/>
    <n v="0"/>
    <n v="0"/>
    <n v="0"/>
    <n v="0"/>
    <n v="0"/>
    <n v="0"/>
    <n v="0"/>
    <n v="0"/>
    <n v="567"/>
    <n v="482800"/>
    <n v="851.49911816578481"/>
    <n v="737"/>
    <n v="627554.85008818342"/>
    <n v="737"/>
    <n v="627554.85008818342"/>
    <n v="737"/>
    <n v="627554.85008818342"/>
  </r>
  <r>
    <x v="0"/>
    <s v="TIPALMA SAS"/>
    <s v="Microcorrugado"/>
    <x v="85"/>
    <x v="85"/>
    <n v="0"/>
    <n v="0"/>
    <n v="0"/>
    <n v="0"/>
    <n v="4800"/>
    <n v="6696000"/>
    <n v="0"/>
    <n v="0"/>
    <n v="0"/>
    <n v="0"/>
    <n v="0"/>
    <n v="0"/>
    <n v="800"/>
    <n v="1116000"/>
    <n v="1395"/>
    <n v="1040"/>
    <n v="1450800"/>
    <n v="1040"/>
    <n v="1450800"/>
    <n v="1040"/>
    <n v="1450800"/>
  </r>
  <r>
    <x v="0"/>
    <s v="TIPALMA SAS"/>
    <s v="Microcorrugado"/>
    <x v="86"/>
    <x v="86"/>
    <n v="0"/>
    <n v="0"/>
    <n v="0"/>
    <n v="0"/>
    <n v="10800"/>
    <n v="9439200"/>
    <n v="0"/>
    <n v="0"/>
    <n v="32000"/>
    <n v="26624000"/>
    <n v="0"/>
    <n v="0"/>
    <n v="7133"/>
    <n v="6010533"/>
    <n v="842.63745969437821"/>
    <n v="9273"/>
    <n v="7813777.1637459695"/>
    <n v="9273"/>
    <n v="7813777.1637459695"/>
    <n v="9273"/>
    <n v="7813777.1637459695"/>
  </r>
  <r>
    <x v="0"/>
    <s v="TIPALMA SAS"/>
    <s v="Microcorrugado"/>
    <x v="87"/>
    <x v="87"/>
    <n v="5500"/>
    <n v="4933500"/>
    <n v="0"/>
    <n v="0"/>
    <n v="0"/>
    <n v="0"/>
    <n v="0"/>
    <n v="0"/>
    <n v="0"/>
    <n v="0"/>
    <n v="0"/>
    <n v="0"/>
    <n v="917"/>
    <n v="822250"/>
    <n v="896.67393675027267"/>
    <n v="1192"/>
    <n v="1068835.3326063249"/>
    <n v="1192"/>
    <n v="1068835.3326063249"/>
    <n v="1192"/>
    <n v="1068835.3326063249"/>
  </r>
  <r>
    <x v="0"/>
    <s v="TIPALMA SAS"/>
    <s v="Microcorrugado"/>
    <x v="88"/>
    <x v="88"/>
    <n v="0"/>
    <n v="0"/>
    <n v="2300"/>
    <n v="2454100"/>
    <n v="0"/>
    <n v="0"/>
    <n v="0"/>
    <n v="0"/>
    <n v="0"/>
    <n v="0"/>
    <n v="0"/>
    <n v="0"/>
    <n v="383"/>
    <n v="409017"/>
    <n v="1067.929503916449"/>
    <n v="498"/>
    <n v="531828.89295039163"/>
    <n v="498"/>
    <n v="531828.89295039163"/>
    <n v="498"/>
    <n v="531828.89295039163"/>
  </r>
  <r>
    <x v="0"/>
    <s v="TIPALMA SAS"/>
    <s v="Microcorrugado"/>
    <x v="89"/>
    <x v="89"/>
    <n v="0"/>
    <n v="0"/>
    <n v="0"/>
    <n v="0"/>
    <n v="2800"/>
    <n v="1825600"/>
    <n v="0"/>
    <n v="0"/>
    <n v="0"/>
    <n v="0"/>
    <n v="0"/>
    <n v="0"/>
    <n v="467"/>
    <n v="304267"/>
    <n v="651.53533190578162"/>
    <n v="607"/>
    <n v="395481.94646680943"/>
    <n v="607"/>
    <n v="395481.94646680943"/>
    <n v="607"/>
    <n v="395481.94646680943"/>
  </r>
  <r>
    <x v="0"/>
    <s v="TIPALMA SAS"/>
    <s v="Microcorrugado"/>
    <x v="90"/>
    <x v="90"/>
    <n v="0"/>
    <n v="0"/>
    <n v="0"/>
    <n v="0"/>
    <n v="0"/>
    <n v="0"/>
    <n v="0"/>
    <n v="0"/>
    <n v="2100"/>
    <n v="1614900"/>
    <n v="0"/>
    <n v="0"/>
    <n v="350"/>
    <n v="269150"/>
    <n v="769"/>
    <n v="455"/>
    <n v="349895"/>
    <n v="455"/>
    <n v="349895"/>
    <n v="455"/>
    <n v="349895"/>
  </r>
  <r>
    <x v="0"/>
    <s v="TIPALMA SAS"/>
    <s v="Microcorrugado"/>
    <x v="91"/>
    <x v="91"/>
    <n v="0"/>
    <n v="0"/>
    <n v="0"/>
    <n v="0"/>
    <n v="0"/>
    <n v="0"/>
    <n v="10800"/>
    <n v="13543200"/>
    <n v="0"/>
    <n v="0"/>
    <n v="0"/>
    <n v="0"/>
    <n v="1800"/>
    <n v="2257200"/>
    <n v="1254"/>
    <n v="2340"/>
    <n v="2934360"/>
    <n v="2340"/>
    <n v="2934360"/>
    <n v="2340"/>
    <n v="2934360"/>
  </r>
  <r>
    <x v="0"/>
    <s v="TIPALMA SAS"/>
    <s v="NO DEFINIDO"/>
    <x v="92"/>
    <x v="92"/>
    <n v="0"/>
    <n v="0"/>
    <n v="0"/>
    <n v="0"/>
    <n v="0"/>
    <n v="0"/>
    <n v="0"/>
    <n v="0"/>
    <n v="24710"/>
    <n v="10353490"/>
    <n v="8119"/>
    <n v="3994571"/>
    <n v="5472"/>
    <n v="2391344"/>
    <n v="437.01461988304095"/>
    <n v="7113"/>
    <n v="3108484.9912280701"/>
    <n v="7113"/>
    <n v="3108484.9912280701"/>
    <n v="7113"/>
    <n v="3108484.9912280701"/>
  </r>
  <r>
    <x v="0"/>
    <s v="TIPALMA SAS"/>
    <s v="OTROS"/>
    <x v="93"/>
    <x v="93"/>
    <n v="3"/>
    <n v="19501500"/>
    <n v="0"/>
    <n v="0"/>
    <n v="1150"/>
    <n v="3700915"/>
    <n v="3058"/>
    <n v="10608202"/>
    <n v="1821"/>
    <n v="6317049"/>
    <n v="5052"/>
    <n v="17523736"/>
    <n v="1847"/>
    <n v="9608567"/>
    <n v="5202.2560909583108"/>
    <n v="2401"/>
    <n v="12490616.874390904"/>
    <n v="2401"/>
    <n v="12490616.874390904"/>
    <n v="2401"/>
    <n v="12490616.874390904"/>
  </r>
  <r>
    <x v="0"/>
    <s v="TIPALMA SAS"/>
    <s v="SEEDPACK"/>
    <x v="94"/>
    <x v="94"/>
    <n v="4000"/>
    <n v="312000"/>
    <n v="0"/>
    <n v="0"/>
    <n v="0"/>
    <n v="0"/>
    <n v="0"/>
    <n v="0"/>
    <n v="0"/>
    <n v="0"/>
    <n v="0"/>
    <n v="0"/>
    <n v="667"/>
    <n v="52000"/>
    <n v="77.96101949025487"/>
    <n v="0"/>
    <n v="0"/>
    <n v="867"/>
    <n v="67592.203898050968"/>
    <n v="867"/>
    <n v="67592.203898050968"/>
  </r>
  <r>
    <x v="0"/>
    <s v="TIPALMA SAS"/>
    <s v="SEEDPACK"/>
    <x v="95"/>
    <x v="95"/>
    <n v="1000"/>
    <n v="1116000"/>
    <n v="0"/>
    <n v="0"/>
    <n v="0"/>
    <n v="0"/>
    <n v="0"/>
    <n v="0"/>
    <n v="0"/>
    <n v="0"/>
    <n v="0"/>
    <n v="0"/>
    <n v="167"/>
    <n v="186000"/>
    <n v="1113.7724550898204"/>
    <n v="0"/>
    <n v="0"/>
    <n v="217"/>
    <n v="241688.62275449102"/>
    <n v="217"/>
    <n v="241688.62275449102"/>
  </r>
  <r>
    <x v="0"/>
    <s v="TIPALMA SAS"/>
    <s v="SEEDPACK"/>
    <x v="96"/>
    <x v="96"/>
    <n v="1"/>
    <n v="45000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0"/>
    <s v="TIPALMA SAS"/>
    <s v="SEEDPACK"/>
    <x v="97"/>
    <x v="97"/>
    <n v="0"/>
    <n v="0"/>
    <n v="500"/>
    <n v="981500"/>
    <n v="0"/>
    <n v="0"/>
    <n v="0"/>
    <n v="0"/>
    <n v="0"/>
    <n v="0"/>
    <n v="369"/>
    <n v="724440"/>
    <n v="145"/>
    <n v="284323"/>
    <n v="1960.8482758620689"/>
    <n v="0"/>
    <n v="0"/>
    <n v="0"/>
    <n v="0"/>
    <n v="188"/>
    <n v="368639.47586206894"/>
  </r>
  <r>
    <x v="0"/>
    <s v="TIPALMA SAS"/>
    <s v="SEEDPACK"/>
    <x v="98"/>
    <x v="98"/>
    <n v="0"/>
    <n v="0"/>
    <n v="0"/>
    <n v="0"/>
    <n v="600"/>
    <n v="575400"/>
    <n v="0"/>
    <n v="0"/>
    <n v="0"/>
    <n v="0"/>
    <n v="738"/>
    <n v="707833"/>
    <n v="223"/>
    <n v="213872"/>
    <n v="959.067264573991"/>
    <n v="0"/>
    <n v="0"/>
    <n v="0"/>
    <n v="0"/>
    <n v="290"/>
    <n v="278129.50672645739"/>
  </r>
  <r>
    <x v="0"/>
    <s v="TIPALMA SAS"/>
    <s v="SEEDPACK"/>
    <x v="99"/>
    <x v="99"/>
    <n v="0"/>
    <n v="0"/>
    <n v="500"/>
    <n v="808500"/>
    <n v="0"/>
    <n v="0"/>
    <n v="0"/>
    <n v="0"/>
    <n v="0"/>
    <n v="0"/>
    <n v="738"/>
    <n v="1193500"/>
    <n v="206"/>
    <n v="333667"/>
    <n v="1619.7427184466019"/>
    <n v="0"/>
    <n v="0"/>
    <n v="0"/>
    <n v="0"/>
    <n v="268"/>
    <n v="434091.04854368931"/>
  </r>
  <r>
    <x v="0"/>
    <s v="TIPALMA SAS"/>
    <s v="SEEDPACK"/>
    <x v="100"/>
    <x v="100"/>
    <n v="0"/>
    <n v="0"/>
    <n v="0"/>
    <n v="0"/>
    <n v="0"/>
    <n v="0"/>
    <n v="0"/>
    <n v="0"/>
    <n v="0"/>
    <n v="0"/>
    <n v="295"/>
    <n v="304981"/>
    <n v="49"/>
    <n v="50830"/>
    <n v="1037.3469387755101"/>
    <n v="0"/>
    <n v="0"/>
    <n v="0"/>
    <n v="0"/>
    <n v="64"/>
    <n v="66390.204081632648"/>
  </r>
  <r>
    <x v="0"/>
    <s v="TIPALMA SAS"/>
    <s v="SEEDPACK"/>
    <x v="101"/>
    <x v="101"/>
    <n v="270"/>
    <n v="254340"/>
    <n v="0"/>
    <n v="0"/>
    <n v="0"/>
    <n v="0"/>
    <n v="0"/>
    <n v="0"/>
    <n v="0"/>
    <n v="0"/>
    <n v="399"/>
    <n v="375454"/>
    <n v="111"/>
    <n v="104966"/>
    <n v="945.63963963963965"/>
    <n v="0"/>
    <n v="0"/>
    <n v="0"/>
    <n v="0"/>
    <n v="145"/>
    <n v="137117.74774774775"/>
  </r>
  <r>
    <x v="0"/>
    <s v="TIPALMA SAS"/>
    <s v="SEEDPACK"/>
    <x v="102"/>
    <x v="102"/>
    <n v="0"/>
    <n v="0"/>
    <n v="0"/>
    <n v="0"/>
    <n v="2160"/>
    <n v="997920"/>
    <n v="0"/>
    <n v="0"/>
    <n v="0"/>
    <n v="0"/>
    <n v="2657"/>
    <n v="1227600"/>
    <n v="803"/>
    <n v="370920"/>
    <n v="461.91780821917808"/>
    <n v="0"/>
    <n v="0"/>
    <n v="0"/>
    <n v="0"/>
    <n v="1044"/>
    <n v="482242.19178082194"/>
  </r>
  <r>
    <x v="0"/>
    <s v="TIPALMA SAS"/>
    <s v="SEEDPACK"/>
    <x v="103"/>
    <x v="103"/>
    <n v="2700"/>
    <n v="1530900"/>
    <n v="6210"/>
    <n v="3521070"/>
    <n v="0"/>
    <n v="0"/>
    <n v="0"/>
    <n v="0"/>
    <n v="0"/>
    <n v="0"/>
    <n v="0"/>
    <n v="0"/>
    <n v="1485"/>
    <n v="841995"/>
    <n v="567"/>
    <n v="0"/>
    <n v="0"/>
    <n v="0"/>
    <n v="0"/>
    <n v="1930"/>
    <n v="1094310"/>
  </r>
  <r>
    <x v="0"/>
    <s v="TIPALMA SAS"/>
    <s v="SEEDPACK"/>
    <x v="104"/>
    <x v="104"/>
    <n v="3150"/>
    <n v="2003400"/>
    <n v="0"/>
    <n v="0"/>
    <n v="2100"/>
    <n v="1335600"/>
    <n v="0"/>
    <n v="0"/>
    <n v="0"/>
    <n v="0"/>
    <n v="1550"/>
    <n v="985800"/>
    <n v="1133"/>
    <n v="720800"/>
    <n v="636.18711385701681"/>
    <n v="0"/>
    <n v="0"/>
    <n v="0"/>
    <n v="0"/>
    <n v="1473"/>
    <n v="937103.61871138576"/>
  </r>
  <r>
    <x v="0"/>
    <s v="TIPALMA SAS"/>
    <s v="SERVICIO"/>
    <x v="6"/>
    <x v="6"/>
    <n v="108382"/>
    <n v="41063468"/>
    <n v="141534"/>
    <n v="55015546"/>
    <n v="125998"/>
    <n v="55437450"/>
    <n v="114588"/>
    <n v="48852134"/>
    <n v="83968"/>
    <n v="35834430"/>
    <n v="35913"/>
    <n v="15442488"/>
    <n v="101730"/>
    <n v="41940919"/>
    <n v="412.2768013368721"/>
    <n v="132256"/>
    <n v="54526080.637609355"/>
    <n v="132256"/>
    <n v="54526080.637609355"/>
    <n v="132250"/>
    <n v="54523606.976801336"/>
  </r>
  <r>
    <x v="0"/>
    <s v="TIPALMA SAS"/>
    <s v="SERVICIO"/>
    <x v="7"/>
    <x v="7"/>
    <n v="0"/>
    <n v="0"/>
    <n v="0"/>
    <n v="0"/>
    <n v="40454"/>
    <n v="27636877"/>
    <n v="0"/>
    <n v="0"/>
    <n v="27693"/>
    <n v="17972757"/>
    <n v="0"/>
    <n v="0"/>
    <n v="11358"/>
    <n v="7601606"/>
    <n v="669.27328755062513"/>
    <n v="14765"/>
    <n v="9881820.0906849802"/>
    <n v="14765"/>
    <n v="9881820.0906849802"/>
    <n v="14765"/>
    <n v="9881820.0906849802"/>
  </r>
  <r>
    <x v="0"/>
    <s v="TIPALMA SAS"/>
    <s v="SERVICIO"/>
    <x v="105"/>
    <x v="105"/>
    <n v="5562"/>
    <n v="3559680"/>
    <n v="3572"/>
    <n v="2286080"/>
    <n v="9758"/>
    <n v="6978692"/>
    <n v="0"/>
    <n v="0"/>
    <n v="0"/>
    <n v="0"/>
    <n v="0"/>
    <n v="0"/>
    <n v="3149"/>
    <n v="2137409"/>
    <n v="678.75801841854559"/>
    <n v="4093"/>
    <n v="2778156.5693871072"/>
    <n v="4093"/>
    <n v="2778156.5693871072"/>
    <n v="4093"/>
    <n v="2778156.5693871072"/>
  </r>
  <r>
    <x v="0"/>
    <s v="TIPALMA SAS"/>
    <s v="SERVICIO"/>
    <x v="106"/>
    <x v="106"/>
    <n v="1276"/>
    <n v="1031008"/>
    <n v="7990"/>
    <n v="6455920"/>
    <n v="0"/>
    <n v="0"/>
    <n v="688"/>
    <n v="471280"/>
    <n v="0"/>
    <n v="0"/>
    <n v="0"/>
    <n v="0"/>
    <n v="1659"/>
    <n v="1326368"/>
    <n v="799.49849306811336"/>
    <n v="2157"/>
    <n v="1724518.2495479204"/>
    <n v="2157"/>
    <n v="1724518.2495479204"/>
    <n v="2157"/>
    <n v="1724518.2495479204"/>
  </r>
  <r>
    <x v="0"/>
    <s v="WILMER FELIPE GARCIA MARTINEZ"/>
    <s v="SEEDPACK"/>
    <x v="107"/>
    <x v="107"/>
    <n v="0"/>
    <n v="0"/>
    <n v="0"/>
    <n v="0"/>
    <n v="0"/>
    <n v="0"/>
    <n v="0"/>
    <n v="0"/>
    <n v="1080"/>
    <n v="222480"/>
    <n v="0"/>
    <n v="0"/>
    <n v="180"/>
    <n v="37080"/>
    <n v="206"/>
    <n v="0"/>
    <n v="0"/>
    <n v="0"/>
    <n v="0"/>
    <n v="0"/>
    <n v="0"/>
  </r>
  <r>
    <x v="1"/>
    <s v="COMIDAS VARPEL SAS"/>
    <s v="SEEDPACK"/>
    <x v="94"/>
    <x v="94"/>
    <n v="6000"/>
    <n v="474000"/>
    <n v="0"/>
    <n v="0"/>
    <n v="0"/>
    <n v="0"/>
    <n v="0"/>
    <n v="0"/>
    <n v="0"/>
    <n v="0"/>
    <n v="0"/>
    <n v="0"/>
    <n v="1000"/>
    <n v="79000"/>
    <n v="79"/>
    <n v="0"/>
    <n v="0"/>
    <n v="0"/>
    <n v="0"/>
    <n v="0"/>
    <n v="0"/>
  </r>
  <r>
    <x v="1"/>
    <s v="COMIDAS VARPEL SAS"/>
    <s v="Salseros"/>
    <x v="108"/>
    <x v="108"/>
    <n v="170000"/>
    <n v="5457000"/>
    <n v="200000"/>
    <n v="6420000"/>
    <n v="0"/>
    <n v="0"/>
    <n v="0"/>
    <n v="0"/>
    <n v="0"/>
    <n v="0"/>
    <n v="0"/>
    <n v="0"/>
    <n v="61666"/>
    <n v="1979500"/>
    <n v="32.100347030778714"/>
    <n v="0"/>
    <n v="0"/>
    <n v="0"/>
    <n v="0"/>
    <n v="0"/>
    <n v="0"/>
  </r>
  <r>
    <x v="2"/>
    <s v="GELP MX SAS"/>
    <s v="SEEDPACK"/>
    <x v="104"/>
    <x v="104"/>
    <n v="4200"/>
    <n v="2801400"/>
    <n v="0"/>
    <n v="0"/>
    <n v="0"/>
    <n v="0"/>
    <n v="0"/>
    <n v="0"/>
    <n v="0"/>
    <n v="0"/>
    <n v="0"/>
    <n v="0"/>
    <n v="700"/>
    <n v="466900"/>
    <n v="667"/>
    <n v="910"/>
    <n v="606970"/>
    <n v="910"/>
    <n v="606970"/>
    <n v="910"/>
    <n v="606970"/>
  </r>
  <r>
    <x v="3"/>
    <s v="S&amp;S CARNIVOROS SAS"/>
    <s v="SEEDPACK"/>
    <x v="109"/>
    <x v="109"/>
    <n v="0"/>
    <n v="0"/>
    <n v="1700"/>
    <n v="1708500"/>
    <n v="3900"/>
    <n v="3919500"/>
    <n v="0"/>
    <n v="0"/>
    <n v="0"/>
    <n v="0"/>
    <n v="0"/>
    <n v="0"/>
    <n v="933"/>
    <n v="938000"/>
    <n v="1005.3590568060022"/>
    <n v="1213"/>
    <n v="1219500.5359056806"/>
    <n v="1213"/>
    <n v="1219500.5359056806"/>
    <n v="1213"/>
    <n v="1219500.5359056806"/>
  </r>
  <r>
    <x v="4"/>
    <s v="COLBIOS SAS"/>
    <s v="Salseros"/>
    <x v="108"/>
    <x v="108"/>
    <n v="0"/>
    <n v="0"/>
    <n v="0"/>
    <n v="0"/>
    <n v="0"/>
    <n v="0"/>
    <n v="0"/>
    <n v="0"/>
    <n v="15000"/>
    <n v="540000"/>
    <n v="0"/>
    <n v="0"/>
    <n v="2500"/>
    <n v="90000"/>
    <n v="36"/>
    <n v="3250"/>
    <n v="117000"/>
    <n v="3250"/>
    <n v="117000"/>
    <n v="3250"/>
    <n v="117000"/>
  </r>
  <r>
    <x v="4"/>
    <s v="COLBIOS SAS"/>
    <s v="Salseros"/>
    <x v="110"/>
    <x v="110"/>
    <n v="0"/>
    <n v="0"/>
    <n v="0"/>
    <n v="0"/>
    <n v="0"/>
    <n v="0"/>
    <n v="0"/>
    <n v="0"/>
    <n v="10000"/>
    <n v="370000"/>
    <n v="0"/>
    <n v="0"/>
    <n v="1667"/>
    <n v="61667"/>
    <n v="36.992801439712061"/>
    <n v="2167"/>
    <n v="80163.400719856028"/>
    <n v="2167"/>
    <n v="80163.400719856028"/>
    <n v="2167"/>
    <n v="80163.400719856028"/>
  </r>
  <r>
    <x v="4"/>
    <s v="DISTRIBUIDORA DE ALIMENTOS NO PROCESADOS FRESCOCAMPO S.A.S"/>
    <s v="SEEDPACK"/>
    <x v="111"/>
    <x v="111"/>
    <n v="0"/>
    <n v="0"/>
    <n v="4960"/>
    <n v="2455200"/>
    <n v="0"/>
    <n v="0"/>
    <n v="3410"/>
    <n v="1790250"/>
    <n v="2480"/>
    <n v="1302000"/>
    <n v="0"/>
    <n v="0"/>
    <n v="1808"/>
    <n v="924575"/>
    <n v="511.37997787610618"/>
    <n v="2351"/>
    <n v="1202254.3279867256"/>
    <n v="2351"/>
    <n v="1202254.3279867256"/>
    <n v="2351"/>
    <n v="1202254.3279867256"/>
  </r>
  <r>
    <x v="4"/>
    <s v="DISTRIBUIDORA DE ALIMENTOS NO PROCESADOS FRESCOCAMPO S.A.S"/>
    <s v="SEEDPACK"/>
    <x v="112"/>
    <x v="112"/>
    <n v="0"/>
    <n v="0"/>
    <n v="1400"/>
    <n v="607600"/>
    <n v="0"/>
    <n v="0"/>
    <n v="0"/>
    <n v="0"/>
    <n v="2100"/>
    <n v="966000"/>
    <n v="0"/>
    <n v="0"/>
    <n v="583"/>
    <n v="262267"/>
    <n v="449.85763293310464"/>
    <n v="758"/>
    <n v="340992.08576329332"/>
    <n v="758"/>
    <n v="340992.08576329332"/>
    <n v="758"/>
    <n v="340992.08576329332"/>
  </r>
  <r>
    <x v="4"/>
    <s v="DISTRIBUIDORA DE ALIMENTOS NO PROCESADOS FRESCOCAMPO S.A.S"/>
    <s v="SEEDPACK"/>
    <x v="113"/>
    <x v="113"/>
    <n v="0"/>
    <n v="0"/>
    <n v="0"/>
    <n v="0"/>
    <n v="0"/>
    <n v="0"/>
    <n v="6480"/>
    <n v="2870640"/>
    <n v="6480"/>
    <n v="2870640"/>
    <n v="0"/>
    <n v="0"/>
    <n v="2160"/>
    <n v="956880"/>
    <n v="443"/>
    <n v="2808"/>
    <n v="1243944"/>
    <n v="2808"/>
    <n v="1243944"/>
    <n v="2808"/>
    <n v="1243944"/>
  </r>
  <r>
    <x v="4"/>
    <s v="DISTRIBUIDORA DE ALIMENTOS NO PROCESADOS FRESCOCAMPO S.A.S"/>
    <s v="SEEDPACK"/>
    <x v="114"/>
    <x v="114"/>
    <n v="0"/>
    <n v="0"/>
    <n v="9600"/>
    <n v="4521600"/>
    <n v="4800"/>
    <n v="2260800"/>
    <n v="0"/>
    <n v="0"/>
    <n v="0"/>
    <n v="0"/>
    <n v="0"/>
    <n v="0"/>
    <n v="2400"/>
    <n v="1130400"/>
    <n v="471"/>
    <n v="3120"/>
    <n v="1469520"/>
    <n v="3120"/>
    <n v="1469520"/>
    <n v="3120"/>
    <n v="1469520"/>
  </r>
  <r>
    <x v="4"/>
    <s v="EMPAQUES Y SOLUCIONES DQ SAS"/>
    <s v="PLATOS"/>
    <x v="115"/>
    <x v="115"/>
    <n v="0"/>
    <n v="0"/>
    <n v="0"/>
    <n v="0"/>
    <n v="0"/>
    <n v="0"/>
    <n v="1440"/>
    <n v="426240"/>
    <n v="0"/>
    <n v="0"/>
    <n v="0"/>
    <n v="0"/>
    <n v="240"/>
    <n v="71040"/>
    <n v="296"/>
    <n v="1200"/>
    <n v="355200"/>
    <n v="1200"/>
    <n v="355200"/>
    <n v="1200"/>
    <n v="355200"/>
  </r>
  <r>
    <x v="4"/>
    <s v="EMPAQUES Y SOLUCIONES DQ SAS"/>
    <s v="PLATOS"/>
    <x v="116"/>
    <x v="116"/>
    <n v="0"/>
    <n v="0"/>
    <n v="0"/>
    <n v="0"/>
    <n v="0"/>
    <n v="0"/>
    <n v="1120"/>
    <n v="454720"/>
    <n v="0"/>
    <n v="0"/>
    <n v="0"/>
    <n v="0"/>
    <n v="187"/>
    <n v="75787"/>
    <n v="405.27807486631013"/>
    <n v="1200"/>
    <n v="486333.68983957218"/>
    <n v="1200"/>
    <n v="486333.68983957218"/>
    <n v="1200"/>
    <n v="486333.68983957218"/>
  </r>
  <r>
    <x v="4"/>
    <s v="EMPAQUES Y SOLUCIONES DQ SAS"/>
    <s v="SEEDPACK"/>
    <x v="94"/>
    <x v="94"/>
    <n v="0"/>
    <n v="0"/>
    <n v="0"/>
    <n v="0"/>
    <n v="100000"/>
    <n v="7000000"/>
    <n v="0"/>
    <n v="0"/>
    <n v="100000"/>
    <n v="7000000"/>
    <n v="0"/>
    <n v="0"/>
    <n v="33333"/>
    <n v="2333333"/>
    <n v="70.000690006900072"/>
    <n v="60000"/>
    <n v="4200041.400414004"/>
    <n v="60000"/>
    <n v="4200041.400414004"/>
    <n v="60000"/>
    <n v="4200041.400414004"/>
  </r>
  <r>
    <x v="4"/>
    <s v="EMPAQUES Y SOLUCIONES DQ SAS"/>
    <s v="SEEDPACK"/>
    <x v="117"/>
    <x v="117"/>
    <n v="0"/>
    <n v="0"/>
    <n v="0"/>
    <n v="0"/>
    <n v="0"/>
    <n v="0"/>
    <n v="0"/>
    <n v="0"/>
    <n v="0"/>
    <n v="0"/>
    <n v="29524"/>
    <n v="2332381"/>
    <n v="4921"/>
    <n v="388730"/>
    <n v="78.994106888843731"/>
    <n v="0"/>
    <n v="0"/>
    <n v="0"/>
    <n v="0"/>
    <n v="20000"/>
    <n v="1579882.1377768747"/>
  </r>
  <r>
    <x v="4"/>
    <s v="EMPAQUES Y SOLUCIONES DQ SAS"/>
    <s v="SEEDPACK"/>
    <x v="113"/>
    <x v="113"/>
    <n v="0"/>
    <n v="0"/>
    <n v="0"/>
    <n v="0"/>
    <n v="0"/>
    <n v="0"/>
    <n v="720"/>
    <n v="329760"/>
    <n v="0"/>
    <n v="0"/>
    <n v="0"/>
    <n v="0"/>
    <n v="120"/>
    <n v="54960"/>
    <n v="458"/>
    <n v="720"/>
    <n v="329760"/>
    <n v="720"/>
    <n v="329760"/>
    <n v="720"/>
    <n v="329760"/>
  </r>
  <r>
    <x v="4"/>
    <s v="EMPAQUES Y SOLUCIONES DQ SAS"/>
    <s v="SEEDPACK"/>
    <x v="118"/>
    <x v="118"/>
    <n v="0"/>
    <n v="0"/>
    <n v="2400"/>
    <n v="921600"/>
    <n v="3600"/>
    <n v="1382400"/>
    <n v="2100"/>
    <n v="806400"/>
    <n v="3600"/>
    <n v="1382400"/>
    <n v="0"/>
    <n v="0"/>
    <n v="1950"/>
    <n v="748800"/>
    <n v="384"/>
    <n v="2535"/>
    <n v="973440"/>
    <n v="2535"/>
    <n v="973440"/>
    <n v="2535"/>
    <n v="973440"/>
  </r>
  <r>
    <x v="4"/>
    <s v="EMPAQUES Y SOLUCIONES DQ SAS"/>
    <s v="SEEDPACK"/>
    <x v="119"/>
    <x v="119"/>
    <n v="720"/>
    <n v="443520"/>
    <n v="720"/>
    <n v="443520"/>
    <n v="2160"/>
    <n v="1330560"/>
    <n v="1260"/>
    <n v="776160"/>
    <n v="3420"/>
    <n v="2106720"/>
    <n v="0"/>
    <n v="0"/>
    <n v="1380"/>
    <n v="850080"/>
    <n v="616"/>
    <n v="1794"/>
    <n v="1105104"/>
    <n v="1794"/>
    <n v="1105104"/>
    <n v="1794"/>
    <n v="1105104"/>
  </r>
  <r>
    <x v="4"/>
    <s v="EMPAQUES Y SOLUCIONES DQ SAS"/>
    <s v="Salseros"/>
    <x v="108"/>
    <x v="108"/>
    <n v="0"/>
    <n v="0"/>
    <n v="60000"/>
    <n v="2142000"/>
    <n v="75000"/>
    <n v="2677500"/>
    <n v="75000"/>
    <n v="2677500"/>
    <n v="200000"/>
    <n v="7140000"/>
    <n v="0"/>
    <n v="0"/>
    <n v="68333"/>
    <n v="2439500"/>
    <n v="35.700174147190964"/>
    <n v="88833"/>
    <n v="3171353.5700174151"/>
    <n v="88833"/>
    <n v="3171353.5700174151"/>
    <n v="88833"/>
    <n v="3171353.5700174151"/>
  </r>
  <r>
    <x v="4"/>
    <s v="EMPAQUES Y SOLUCIONES DQ SAS"/>
    <s v="Salseros"/>
    <x v="110"/>
    <x v="110"/>
    <n v="0"/>
    <n v="0"/>
    <n v="50000"/>
    <n v="1830000"/>
    <n v="0"/>
    <n v="0"/>
    <n v="0"/>
    <n v="0"/>
    <n v="0"/>
    <n v="0"/>
    <n v="0"/>
    <n v="0"/>
    <n v="8333"/>
    <n v="305000"/>
    <n v="36.601464058562343"/>
    <n v="10833"/>
    <n v="396503.66014640586"/>
    <n v="10833"/>
    <n v="396503.66014640586"/>
    <n v="10833"/>
    <n v="396503.66014640586"/>
  </r>
  <r>
    <x v="4"/>
    <s v="F.C. DISTRIBUCIONES LTDA."/>
    <s v="SEEDPACK"/>
    <x v="120"/>
    <x v="120"/>
    <n v="0"/>
    <n v="0"/>
    <n v="0"/>
    <n v="0"/>
    <n v="0"/>
    <n v="0"/>
    <n v="1500"/>
    <n v="1207500"/>
    <n v="11400"/>
    <n v="9177000"/>
    <n v="4429"/>
    <n v="3565000"/>
    <n v="2888"/>
    <n v="2324917"/>
    <n v="805.02666204986144"/>
    <n v="6000"/>
    <n v="4830159.9722991688"/>
    <n v="6000"/>
    <n v="4830159.9722991688"/>
    <n v="6000"/>
    <n v="4830159.9722991688"/>
  </r>
  <r>
    <x v="4"/>
    <s v="F.C. DISTRIBUCIONES LTDA."/>
    <s v="SEEDPACK"/>
    <x v="121"/>
    <x v="121"/>
    <n v="0"/>
    <n v="0"/>
    <n v="0"/>
    <n v="0"/>
    <n v="4500"/>
    <n v="3622500"/>
    <n v="0"/>
    <n v="0"/>
    <n v="0"/>
    <n v="0"/>
    <n v="0"/>
    <n v="0"/>
    <n v="750"/>
    <n v="603750"/>
    <n v="805"/>
    <n v="0"/>
    <n v="0"/>
    <n v="0"/>
    <n v="0"/>
    <m/>
    <n v="0"/>
  </r>
  <r>
    <x v="4"/>
    <s v="F.C. DISTRIBUCIONES LTDA."/>
    <s v="SEEDPACK"/>
    <x v="122"/>
    <x v="122"/>
    <n v="0"/>
    <n v="0"/>
    <n v="0"/>
    <n v="0"/>
    <n v="0"/>
    <n v="0"/>
    <n v="750"/>
    <n v="552750"/>
    <n v="0"/>
    <n v="0"/>
    <n v="0"/>
    <n v="0"/>
    <n v="125"/>
    <n v="92125"/>
    <n v="737"/>
    <n v="162"/>
    <n v="119394"/>
    <n v="162"/>
    <n v="119394"/>
    <n v="162"/>
    <n v="119394"/>
  </r>
  <r>
    <x v="4"/>
    <s v="F.C. DISTRIBUCIONES LTDA."/>
    <s v="Salseros"/>
    <x v="108"/>
    <x v="108"/>
    <n v="0"/>
    <n v="0"/>
    <n v="0"/>
    <n v="0"/>
    <n v="125000"/>
    <n v="3875000"/>
    <n v="0"/>
    <n v="0"/>
    <n v="0"/>
    <n v="0"/>
    <n v="0"/>
    <n v="0"/>
    <n v="20833"/>
    <n v="645833"/>
    <n v="31.000480007680125"/>
    <n v="27083"/>
    <n v="839586.00004800083"/>
    <n v="27083"/>
    <n v="839586.00004800083"/>
    <n v="27083"/>
    <n v="839586.00004800083"/>
  </r>
  <r>
    <x v="4"/>
    <s v="FRUIT EXPORT SAS"/>
    <s v="SEEDPACK"/>
    <x v="123"/>
    <x v="123"/>
    <n v="3500"/>
    <n v="1984500"/>
    <n v="0"/>
    <n v="0"/>
    <n v="0"/>
    <n v="0"/>
    <n v="0"/>
    <n v="0"/>
    <n v="0"/>
    <n v="0"/>
    <n v="0"/>
    <n v="0"/>
    <n v="583"/>
    <n v="330750"/>
    <n v="567.32418524871355"/>
    <n v="0"/>
    <n v="0"/>
    <n v="0"/>
    <n v="0"/>
    <n v="0"/>
    <n v="0"/>
  </r>
  <r>
    <x v="4"/>
    <s v="FRUIT EXPORT SAS"/>
    <s v="SEEDPACK"/>
    <x v="124"/>
    <x v="124"/>
    <n v="13500"/>
    <n v="7654500"/>
    <n v="5000"/>
    <n v="2835000"/>
    <n v="20000"/>
    <n v="11340000"/>
    <n v="10000"/>
    <n v="5670000"/>
    <n v="10000"/>
    <n v="5670000"/>
    <n v="0"/>
    <n v="0"/>
    <n v="9750"/>
    <n v="5528250"/>
    <n v="567"/>
    <n v="12675"/>
    <n v="7186725"/>
    <n v="12675"/>
    <n v="7186725"/>
    <n v="12675"/>
    <n v="7186725"/>
  </r>
  <r>
    <x v="4"/>
    <s v="FUNDACION ABOOD SHAIO"/>
    <s v="Salseros"/>
    <x v="108"/>
    <x v="108"/>
    <n v="30000"/>
    <n v="1350000"/>
    <n v="30000"/>
    <n v="1350000"/>
    <n v="0"/>
    <n v="0"/>
    <n v="25000"/>
    <n v="1125000"/>
    <n v="25000"/>
    <n v="1125000"/>
    <n v="29524"/>
    <n v="1328571"/>
    <n v="23254"/>
    <n v="1046429"/>
    <n v="44.999956996645736"/>
    <n v="30230"/>
    <n v="1360348.7000086005"/>
    <n v="30230"/>
    <n v="1360348.7000086005"/>
    <n v="30230"/>
    <n v="1360348.7000086005"/>
  </r>
  <r>
    <x v="4"/>
    <s v="GRUPO MONCANTE SAS"/>
    <s v="SEEDPACK"/>
    <x v="98"/>
    <x v="98"/>
    <n v="0"/>
    <n v="0"/>
    <n v="0"/>
    <n v="0"/>
    <n v="0"/>
    <n v="0"/>
    <n v="0"/>
    <n v="0"/>
    <n v="800"/>
    <n v="1067200"/>
    <n v="0"/>
    <n v="0"/>
    <n v="133"/>
    <n v="177867"/>
    <n v="1337.3458646616541"/>
    <n v="173"/>
    <n v="231360.83458646617"/>
    <n v="173"/>
    <n v="231360.83458646617"/>
    <n v="173"/>
    <n v="231360.83458646617"/>
  </r>
  <r>
    <x v="4"/>
    <s v="INTEGRAL DE DISTRIBUCIONES Y SERVICIOS SAS"/>
    <s v="SEEDPACK"/>
    <x v="94"/>
    <x v="94"/>
    <n v="150000"/>
    <n v="11100000"/>
    <n v="0"/>
    <n v="0"/>
    <n v="0"/>
    <n v="0"/>
    <n v="80000"/>
    <n v="6080000"/>
    <n v="0"/>
    <n v="0"/>
    <n v="73810"/>
    <n v="5609524"/>
    <n v="50635"/>
    <n v="3798254"/>
    <n v="75.012422237582697"/>
    <n v="65825"/>
    <n v="4937692.6937888814"/>
    <n v="65825"/>
    <n v="4937692.6937888814"/>
    <n v="65825"/>
    <n v="4937692.6937888814"/>
  </r>
  <r>
    <x v="4"/>
    <s v="JULIA EDITH ORDOÑEZ"/>
    <s v="SEEDPACK"/>
    <x v="111"/>
    <x v="111"/>
    <n v="0"/>
    <n v="0"/>
    <n v="1240"/>
    <n v="726640"/>
    <n v="1240"/>
    <n v="726640"/>
    <n v="1240"/>
    <n v="726640"/>
    <n v="0"/>
    <n v="0"/>
    <n v="1830"/>
    <n v="1072659"/>
    <n v="925"/>
    <n v="542097"/>
    <n v="586.05081081081084"/>
    <n v="1203"/>
    <n v="705019.12540540542"/>
    <n v="1203"/>
    <n v="705019.12540540542"/>
    <n v="1203"/>
    <n v="705019.12540540542"/>
  </r>
  <r>
    <x v="4"/>
    <s v="LA CALERA COLOMBIA SA"/>
    <s v="SEEDPACK"/>
    <x v="125"/>
    <x v="125"/>
    <n v="0"/>
    <n v="0"/>
    <n v="0"/>
    <n v="0"/>
    <n v="7590"/>
    <n v="3218160"/>
    <n v="0"/>
    <n v="0"/>
    <n v="14190"/>
    <n v="6328740"/>
    <n v="0"/>
    <n v="0"/>
    <n v="3630"/>
    <n v="1591150"/>
    <n v="438.33333333333331"/>
    <n v="4719"/>
    <n v="2068495"/>
    <n v="4719"/>
    <n v="2068495"/>
    <n v="4719"/>
    <n v="2068495"/>
  </r>
  <r>
    <x v="4"/>
    <s v="LA CALERA COLOMBIA SA"/>
    <s v="SEEDPACK"/>
    <x v="126"/>
    <x v="126"/>
    <n v="14520"/>
    <n v="6577560"/>
    <n v="12210"/>
    <n v="5531130"/>
    <n v="0"/>
    <n v="0"/>
    <n v="0"/>
    <n v="0"/>
    <n v="14190"/>
    <n v="6754440"/>
    <n v="0"/>
    <n v="0"/>
    <n v="6820"/>
    <n v="3143855"/>
    <n v="460.97580645161293"/>
    <n v="8866"/>
    <n v="4087011.5"/>
    <n v="8866"/>
    <n v="4087011.5"/>
    <n v="8866"/>
    <n v="4087011.5"/>
  </r>
  <r>
    <x v="4"/>
    <s v="LA CALERA COLOMBIA SA"/>
    <s v="SEEDPACK"/>
    <x v="114"/>
    <x v="114"/>
    <n v="0"/>
    <n v="0"/>
    <n v="0"/>
    <n v="0"/>
    <n v="0"/>
    <n v="0"/>
    <n v="0"/>
    <n v="0"/>
    <n v="1600"/>
    <n v="756800"/>
    <n v="2362"/>
    <n v="1117181"/>
    <n v="660"/>
    <n v="312330"/>
    <n v="473.22727272727275"/>
    <n v="1600"/>
    <n v="757163.63636363635"/>
    <n v="1600"/>
    <n v="757163.63636363635"/>
    <n v="1600"/>
    <n v="757163.63636363635"/>
  </r>
  <r>
    <x v="4"/>
    <s v="LUZ BETTY PUENTES HERNANDEZ"/>
    <s v="SEEDPACK"/>
    <x v="94"/>
    <x v="94"/>
    <n v="40000"/>
    <n v="3200000"/>
    <n v="0"/>
    <n v="0"/>
    <n v="40000"/>
    <n v="3200000"/>
    <n v="0"/>
    <n v="0"/>
    <n v="20000"/>
    <n v="1600000"/>
    <n v="0"/>
    <n v="0"/>
    <n v="16667"/>
    <n v="1333333"/>
    <n v="79.998380032399353"/>
    <n v="21667"/>
    <n v="1733324.9001619967"/>
    <n v="21667"/>
    <n v="1733324.9001619967"/>
    <n v="21667"/>
    <n v="1733324.9001619967"/>
  </r>
  <r>
    <x v="4"/>
    <s v="ORTIZ Y CASAS SAS"/>
    <s v="SEEDPACK"/>
    <x v="127"/>
    <x v="127"/>
    <n v="3150"/>
    <n v="1181250"/>
    <n v="0"/>
    <n v="0"/>
    <n v="0"/>
    <n v="0"/>
    <n v="0"/>
    <n v="0"/>
    <n v="0"/>
    <n v="0"/>
    <n v="0"/>
    <n v="0"/>
    <n v="525"/>
    <n v="196875"/>
    <n v="375"/>
    <n v="682"/>
    <n v="255750"/>
    <n v="682"/>
    <n v="255750"/>
    <n v="682"/>
    <n v="255750"/>
  </r>
  <r>
    <x v="4"/>
    <s v="ORTIZ Y CASAS SAS"/>
    <s v="SEEDPACK"/>
    <x v="111"/>
    <x v="111"/>
    <n v="1240"/>
    <n v="708040"/>
    <n v="0"/>
    <n v="0"/>
    <n v="0"/>
    <n v="0"/>
    <n v="0"/>
    <n v="0"/>
    <n v="0"/>
    <n v="0"/>
    <n v="0"/>
    <n v="0"/>
    <n v="207"/>
    <n v="118007"/>
    <n v="570.08212560386471"/>
    <n v="269"/>
    <n v="153352.0917874396"/>
    <n v="269"/>
    <n v="153352.0917874396"/>
    <n v="269"/>
    <n v="153352.0917874396"/>
  </r>
  <r>
    <x v="4"/>
    <s v="ORTIZ Y CASAS SAS"/>
    <s v="SEEDPACK"/>
    <x v="128"/>
    <x v="128"/>
    <n v="400"/>
    <n v="355200"/>
    <n v="0"/>
    <n v="0"/>
    <n v="0"/>
    <n v="0"/>
    <n v="0"/>
    <n v="0"/>
    <n v="0"/>
    <n v="0"/>
    <n v="0"/>
    <n v="0"/>
    <n v="67"/>
    <n v="59200"/>
    <n v="883.58208955223881"/>
    <n v="87"/>
    <n v="76871.641791044778"/>
    <n v="87"/>
    <n v="76871.641791044778"/>
    <n v="87"/>
    <n v="76871.641791044778"/>
  </r>
  <r>
    <x v="4"/>
    <s v="SUPER DESECHABLES DEL NORTE SAS"/>
    <s v="PLATOS"/>
    <x v="116"/>
    <x v="116"/>
    <n v="0"/>
    <n v="0"/>
    <n v="0"/>
    <n v="0"/>
    <n v="560"/>
    <n v="227360"/>
    <n v="560"/>
    <n v="227360"/>
    <n v="1120"/>
    <n v="454720"/>
    <n v="0"/>
    <n v="0"/>
    <n v="373"/>
    <n v="151573"/>
    <n v="406.36193029490619"/>
    <n v="485"/>
    <n v="197085.53619302949"/>
    <n v="485"/>
    <n v="197085.53619302949"/>
    <n v="485"/>
    <n v="197085.53619302949"/>
  </r>
  <r>
    <x v="4"/>
    <s v="SUPER DESECHABLES DEL NORTE SAS"/>
    <s v="PLATOS"/>
    <x v="129"/>
    <x v="129"/>
    <n v="540"/>
    <n v="313740"/>
    <n v="0"/>
    <n v="0"/>
    <n v="0"/>
    <n v="0"/>
    <n v="0"/>
    <n v="0"/>
    <n v="0"/>
    <n v="0"/>
    <n v="0"/>
    <n v="0"/>
    <n v="90"/>
    <n v="52290"/>
    <n v="581"/>
    <n v="0"/>
    <n v="0"/>
    <n v="0"/>
    <n v="0"/>
    <n v="0"/>
    <n v="0"/>
  </r>
  <r>
    <x v="4"/>
    <s v="SUPER DESECHABLES DEL NORTE SAS"/>
    <s v="SEEDPACK"/>
    <x v="94"/>
    <x v="94"/>
    <n v="28000"/>
    <n v="2240000"/>
    <n v="58000"/>
    <n v="4640000"/>
    <n v="32000"/>
    <n v="2560000"/>
    <n v="26000"/>
    <n v="2080000"/>
    <n v="36000"/>
    <n v="2880000"/>
    <n v="14762"/>
    <n v="1180952"/>
    <n v="32460"/>
    <n v="2596825"/>
    <n v="80.000770178681449"/>
    <n v="44000"/>
    <n v="3520033.8878619839"/>
    <n v="42198"/>
    <n v="3375872.5"/>
    <n v="42198"/>
    <n v="3375872.5"/>
  </r>
  <r>
    <x v="4"/>
    <s v="SUPER DESECHABLES DEL NORTE SAS"/>
    <s v="SEEDPACK"/>
    <x v="122"/>
    <x v="122"/>
    <n v="0"/>
    <n v="0"/>
    <n v="0"/>
    <n v="0"/>
    <n v="150"/>
    <n v="110550"/>
    <n v="0"/>
    <n v="0"/>
    <n v="0"/>
    <n v="0"/>
    <n v="0"/>
    <n v="0"/>
    <n v="25"/>
    <n v="18425"/>
    <n v="737"/>
    <n v="300"/>
    <n v="221100"/>
    <n v="300"/>
    <n v="221100"/>
    <n v="300"/>
    <n v="221100"/>
  </r>
  <r>
    <x v="4"/>
    <s v="SUPER DESECHABLES DEL NORTE SAS"/>
    <s v="SEEDPACK"/>
    <x v="98"/>
    <x v="98"/>
    <n v="100"/>
    <n v="99700"/>
    <n v="0"/>
    <n v="0"/>
    <n v="100"/>
    <n v="99700"/>
    <n v="0"/>
    <n v="0"/>
    <n v="0"/>
    <n v="0"/>
    <n v="0"/>
    <n v="0"/>
    <n v="33"/>
    <n v="33233"/>
    <n v="1007.060606060606"/>
    <n v="300"/>
    <n v="302118.18181818182"/>
    <n v="300"/>
    <n v="302118.18181818182"/>
    <n v="300"/>
    <n v="302118.18181818182"/>
  </r>
  <r>
    <x v="4"/>
    <s v="SUPER DESECHABLES DEL NORTE SAS"/>
    <s v="SEEDPACK"/>
    <x v="130"/>
    <x v="130"/>
    <n v="0"/>
    <n v="0"/>
    <n v="100"/>
    <n v="142900"/>
    <n v="0"/>
    <n v="0"/>
    <n v="300"/>
    <n v="428700"/>
    <n v="0"/>
    <n v="0"/>
    <n v="0"/>
    <n v="0"/>
    <n v="67"/>
    <n v="95267"/>
    <n v="1421.8955223880596"/>
    <n v="300"/>
    <n v="426568.65671641787"/>
    <n v="300"/>
    <n v="426568.65671641787"/>
    <n v="300"/>
    <n v="426568.65671641787"/>
  </r>
  <r>
    <x v="4"/>
    <s v="SUPER DESECHABLES DEL NORTE SAS"/>
    <s v="SEEDPACK"/>
    <x v="99"/>
    <x v="99"/>
    <n v="0"/>
    <n v="0"/>
    <n v="0"/>
    <n v="0"/>
    <n v="0"/>
    <n v="0"/>
    <n v="0"/>
    <n v="0"/>
    <n v="100"/>
    <n v="165000"/>
    <n v="0"/>
    <n v="0"/>
    <n v="17"/>
    <n v="27500"/>
    <n v="1617.6470588235295"/>
    <n v="300"/>
    <n v="485294.11764705885"/>
    <n v="300"/>
    <n v="485294.11764705885"/>
    <n v="300"/>
    <n v="485294.11764705885"/>
  </r>
  <r>
    <x v="4"/>
    <s v="SUPER DESECHABLES DEL NORTE SAS"/>
    <s v="SEEDPACK"/>
    <x v="131"/>
    <x v="131"/>
    <n v="0"/>
    <n v="0"/>
    <n v="100"/>
    <n v="139000"/>
    <n v="100"/>
    <n v="139000"/>
    <n v="0"/>
    <n v="0"/>
    <n v="0"/>
    <n v="0"/>
    <n v="0"/>
    <n v="0"/>
    <n v="33"/>
    <n v="46333"/>
    <n v="1404.030303030303"/>
    <n v="300"/>
    <n v="421209.09090909088"/>
    <n v="300"/>
    <n v="421209.09090909088"/>
    <n v="300"/>
    <n v="421209.09090909088"/>
  </r>
  <r>
    <x v="4"/>
    <s v="SUPER DESECHABLES DEL NORTE SAS"/>
    <s v="SEEDPACK"/>
    <x v="118"/>
    <x v="118"/>
    <n v="2100"/>
    <n v="770700"/>
    <n v="0"/>
    <n v="0"/>
    <n v="1800"/>
    <n v="660600"/>
    <n v="5700"/>
    <n v="2091900"/>
    <n v="4800"/>
    <n v="1761600"/>
    <n v="4429"/>
    <n v="1625286"/>
    <n v="3138"/>
    <n v="1151681"/>
    <n v="367.01115360101977"/>
    <n v="4080"/>
    <n v="1497405.5066921606"/>
    <n v="4080"/>
    <n v="1497405.5066921606"/>
    <n v="4080"/>
    <n v="1497405.5066921606"/>
  </r>
  <r>
    <x v="4"/>
    <s v="SUPER DESECHABLES DEL NORTE SAS"/>
    <s v="SEEDPACK"/>
    <x v="119"/>
    <x v="119"/>
    <n v="360"/>
    <n v="221760"/>
    <n v="0"/>
    <n v="0"/>
    <n v="3600"/>
    <n v="2217600"/>
    <n v="720"/>
    <n v="443520"/>
    <n v="300"/>
    <n v="110100"/>
    <n v="2657"/>
    <n v="1636800"/>
    <n v="1273"/>
    <n v="771630"/>
    <n v="606.15082482325215"/>
    <n v="1655"/>
    <n v="1003179.6150824823"/>
    <n v="1655"/>
    <n v="1003179.6150824823"/>
    <n v="1655"/>
    <n v="1003179.6150824823"/>
  </r>
  <r>
    <x v="4"/>
    <s v="SUPER DESECHABLES DEL NORTE SAS"/>
    <s v="SEEDPACK"/>
    <x v="101"/>
    <x v="101"/>
    <n v="90"/>
    <n v="89010"/>
    <n v="0"/>
    <n v="0"/>
    <n v="0"/>
    <n v="0"/>
    <n v="0"/>
    <n v="0"/>
    <n v="0"/>
    <n v="0"/>
    <n v="0"/>
    <n v="0"/>
    <n v="15"/>
    <n v="14835"/>
    <n v="989"/>
    <n v="20"/>
    <n v="19780"/>
    <n v="20"/>
    <n v="19780"/>
    <n v="20"/>
    <n v="19780"/>
  </r>
  <r>
    <x v="4"/>
    <s v="SUPER DESECHABLES DEL NORTE SAS"/>
    <s v="SEEDPACK"/>
    <x v="104"/>
    <x v="104"/>
    <n v="0"/>
    <n v="0"/>
    <n v="0"/>
    <n v="0"/>
    <n v="0"/>
    <n v="0"/>
    <n v="0"/>
    <n v="0"/>
    <n v="420"/>
    <n v="280140"/>
    <n v="930"/>
    <n v="620310"/>
    <n v="225"/>
    <n v="150075"/>
    <n v="667"/>
    <n v="292"/>
    <n v="194764"/>
    <n v="292"/>
    <n v="194764"/>
    <n v="292"/>
    <n v="194764"/>
  </r>
  <r>
    <x v="4"/>
    <s v="SUPER DESECHABLES DEL NORTE SAS"/>
    <s v="Salseros"/>
    <x v="108"/>
    <x v="108"/>
    <n v="15000"/>
    <n v="535500"/>
    <n v="60000"/>
    <n v="2142000"/>
    <n v="15000"/>
    <n v="535500"/>
    <n v="40000"/>
    <n v="1428000"/>
    <n v="75000"/>
    <n v="2677500"/>
    <n v="7381"/>
    <n v="263500"/>
    <n v="35397"/>
    <n v="1263667"/>
    <n v="35.699833319207841"/>
    <n v="46016"/>
    <n v="1642763.5300166679"/>
    <n v="46016"/>
    <n v="1642763.5300166679"/>
    <n v="46016"/>
    <n v="1642763.5300166679"/>
  </r>
  <r>
    <x v="4"/>
    <s v="SUPER DESECHABLES DEL NORTE SAS"/>
    <s v="Salseros"/>
    <x v="110"/>
    <x v="110"/>
    <n v="0"/>
    <n v="0"/>
    <n v="5000"/>
    <n v="190000"/>
    <n v="0"/>
    <n v="0"/>
    <n v="15000"/>
    <n v="570000"/>
    <n v="15000"/>
    <n v="570000"/>
    <n v="0"/>
    <n v="0"/>
    <n v="5833"/>
    <n v="221667"/>
    <n v="38.002228698782787"/>
    <n v="7583"/>
    <n v="288170.90022286988"/>
    <n v="7583"/>
    <n v="288170.90022286988"/>
    <n v="7583"/>
    <n v="288170.90022286988"/>
  </r>
  <r>
    <x v="4"/>
    <s v="SUPER DESECHABLES DEL NORTE SAS"/>
    <s v="Salseros"/>
    <x v="132"/>
    <x v="132"/>
    <n v="0"/>
    <n v="0"/>
    <n v="0"/>
    <n v="0"/>
    <n v="25000"/>
    <n v="1100000"/>
    <n v="20000"/>
    <n v="880000"/>
    <n v="5000"/>
    <n v="220000"/>
    <n v="0"/>
    <n v="0"/>
    <n v="8333"/>
    <n v="366667"/>
    <n v="44.001800072002879"/>
    <n v="10833"/>
    <n v="476671.50018000719"/>
    <n v="10833"/>
    <n v="476671.50018000719"/>
    <n v="10833"/>
    <n v="476671.50018000719"/>
  </r>
  <r>
    <x v="4"/>
    <s v="UNIVERSAL PACK GROUP SAS"/>
    <s v="SEEDPACK"/>
    <x v="114"/>
    <x v="114"/>
    <n v="0"/>
    <n v="0"/>
    <n v="0"/>
    <n v="0"/>
    <n v="0"/>
    <n v="0"/>
    <n v="0"/>
    <n v="0"/>
    <n v="0"/>
    <n v="0"/>
    <n v="16533"/>
    <n v="5654400"/>
    <n v="2756"/>
    <n v="942400"/>
    <n v="341.94484760522494"/>
    <n v="5000"/>
    <n v="1709724.2380261247"/>
    <n v="5000"/>
    <n v="1709724.2380261247"/>
    <n v="5000"/>
    <n v="1709724.2380261247"/>
  </r>
  <r>
    <x v="4"/>
    <s v="VPC COLOMBIA SAS"/>
    <s v="SEEDPACK"/>
    <x v="133"/>
    <x v="133"/>
    <n v="4410"/>
    <n v="1428840"/>
    <n v="0"/>
    <n v="0"/>
    <n v="2520"/>
    <n v="816480"/>
    <n v="2520"/>
    <n v="816480"/>
    <n v="3150"/>
    <n v="1080450"/>
    <n v="7440"/>
    <n v="2551920"/>
    <n v="3340"/>
    <n v="1115695"/>
    <n v="334.04041916167665"/>
    <n v="4342"/>
    <n v="1450403.5"/>
    <n v="4342"/>
    <n v="1450403.5"/>
    <n v="4342"/>
    <n v="1450403.5"/>
  </r>
  <r>
    <x v="4"/>
    <s v="VPC COLOMBIA SAS"/>
    <s v="SEEDPACK"/>
    <x v="134"/>
    <x v="134"/>
    <n v="52920"/>
    <n v="17357760"/>
    <n v="2100"/>
    <n v="688800"/>
    <n v="46200"/>
    <n v="15153600"/>
    <n v="12600"/>
    <n v="4347000"/>
    <n v="40320"/>
    <n v="14031360"/>
    <n v="57040"/>
    <n v="19849920"/>
    <n v="35197"/>
    <n v="11904740"/>
    <n v="338.23166747165953"/>
    <n v="45756"/>
    <n v="15476128.176833253"/>
    <n v="45756"/>
    <n v="15476128.176833253"/>
    <n v="45756"/>
    <n v="15476128.176833253"/>
  </r>
  <r>
    <x v="4"/>
    <s v="VPC COLOMBIA SAS"/>
    <s v="SEEDPACK"/>
    <x v="135"/>
    <x v="135"/>
    <n v="6500"/>
    <n v="2099500"/>
    <n v="0"/>
    <n v="0"/>
    <n v="0"/>
    <n v="0"/>
    <n v="0"/>
    <n v="0"/>
    <n v="0"/>
    <n v="0"/>
    <n v="0"/>
    <n v="0"/>
    <n v="1083"/>
    <n v="349917"/>
    <n v="323.09972299168976"/>
    <n v="0"/>
    <n v="0"/>
    <n v="0"/>
    <n v="0"/>
    <n v="0"/>
    <n v="0"/>
  </r>
  <r>
    <x v="4"/>
    <s v="VPC COLOMBIA SAS"/>
    <s v="SEEDPACK"/>
    <x v="136"/>
    <x v="136"/>
    <n v="11700"/>
    <n v="3779100"/>
    <n v="15600"/>
    <n v="5038800"/>
    <n v="10400"/>
    <n v="3359200"/>
    <n v="7800"/>
    <n v="2519400"/>
    <n v="0"/>
    <n v="0"/>
    <n v="0"/>
    <n v="0"/>
    <n v="7583"/>
    <n v="2449417"/>
    <n v="323.01424238428064"/>
    <n v="12000"/>
    <n v="3876170.9086113675"/>
    <n v="15000"/>
    <n v="4845213.6357642096"/>
    <n v="12000"/>
    <n v="3876170.9086113675"/>
  </r>
  <r>
    <x v="4"/>
    <s v="VPC COLOMBIA SAS"/>
    <s v="SEEDPACK"/>
    <x v="137"/>
    <x v="137"/>
    <n v="1080"/>
    <n v="330480"/>
    <n v="0"/>
    <n v="0"/>
    <n v="3240"/>
    <n v="991440"/>
    <n v="0"/>
    <n v="0"/>
    <n v="4320"/>
    <n v="1399680"/>
    <n v="19131"/>
    <n v="6198583"/>
    <n v="4629"/>
    <n v="1486697"/>
    <n v="321.17023115143661"/>
    <n v="6017"/>
    <n v="1932481.2808381941"/>
    <n v="6017"/>
    <n v="1932481.2808381941"/>
    <n v="6017"/>
    <n v="1932481.2808381941"/>
  </r>
  <r>
    <x v="4"/>
    <s v="VPC COLOMBIA SAS"/>
    <s v="SEEDPACK"/>
    <x v="114"/>
    <x v="114"/>
    <n v="0"/>
    <n v="0"/>
    <n v="0"/>
    <n v="0"/>
    <n v="0"/>
    <n v="0"/>
    <n v="2400"/>
    <n v="775200"/>
    <n v="12000"/>
    <n v="4104000"/>
    <n v="22438"/>
    <n v="7673829"/>
    <n v="6140"/>
    <n v="2092171"/>
    <n v="340.7444625407166"/>
    <n v="7982"/>
    <n v="2719822.3"/>
    <n v="7982"/>
    <n v="2719822.3"/>
    <n v="7982"/>
    <n v="2719822.3"/>
  </r>
  <r>
    <x v="5"/>
    <s v="A&amp;F CARGO S.A.S."/>
    <s v="SEEDPACK"/>
    <x v="119"/>
    <x v="119"/>
    <n v="0"/>
    <n v="0"/>
    <n v="0"/>
    <n v="0"/>
    <n v="0"/>
    <n v="0"/>
    <n v="0"/>
    <n v="0"/>
    <n v="0"/>
    <n v="0"/>
    <n v="221"/>
    <n v="170500"/>
    <n v="37"/>
    <n v="28417"/>
    <n v="768.02702702702697"/>
    <n v="48"/>
    <n v="36865.297297297293"/>
    <n v="48"/>
    <n v="36865.297297297293"/>
    <n v="48"/>
    <n v="36865.297297297293"/>
  </r>
  <r>
    <x v="5"/>
    <s v="AGROLATORRE S.A.S."/>
    <s v="SEEDPACK"/>
    <x v="111"/>
    <x v="111"/>
    <n v="0"/>
    <n v="0"/>
    <n v="0"/>
    <n v="0"/>
    <n v="0"/>
    <n v="0"/>
    <n v="310"/>
    <n v="174220"/>
    <n v="0"/>
    <n v="0"/>
    <n v="0"/>
    <n v="0"/>
    <n v="52"/>
    <n v="29037"/>
    <n v="558.40384615384619"/>
    <n v="67"/>
    <n v="37413.057692307695"/>
    <n v="67"/>
    <n v="37413.057692307695"/>
    <n v="67"/>
    <n v="37413.057692307695"/>
  </r>
  <r>
    <x v="5"/>
    <s v="ALETA S.A.S."/>
    <s v="SEEDPACK"/>
    <x v="104"/>
    <x v="104"/>
    <n v="1050"/>
    <n v="924000"/>
    <n v="0"/>
    <n v="0"/>
    <n v="0"/>
    <n v="0"/>
    <n v="0"/>
    <n v="0"/>
    <n v="0"/>
    <n v="0"/>
    <n v="0"/>
    <n v="0"/>
    <n v="175"/>
    <n v="154000"/>
    <n v="880"/>
    <n v="228"/>
    <n v="200640"/>
    <n v="228"/>
    <n v="200640"/>
    <n v="228"/>
    <n v="200640"/>
  </r>
  <r>
    <x v="5"/>
    <s v="ALETA S.A.S."/>
    <s v="Salseros"/>
    <x v="108"/>
    <x v="108"/>
    <n v="10000"/>
    <n v="410000"/>
    <n v="0"/>
    <n v="0"/>
    <n v="0"/>
    <n v="0"/>
    <n v="10000"/>
    <n v="410000"/>
    <n v="0"/>
    <n v="0"/>
    <n v="0"/>
    <n v="0"/>
    <n v="3333"/>
    <n v="136667"/>
    <n v="41.004200420042004"/>
    <n v="4333"/>
    <n v="177671.20042004201"/>
    <n v="4333"/>
    <n v="177671.20042004201"/>
    <n v="4333"/>
    <n v="177671.20042004201"/>
  </r>
  <r>
    <x v="5"/>
    <s v="ANDRES ALEJANDRO HINCAPIE MEJIA"/>
    <s v="BOLSAS"/>
    <x v="138"/>
    <x v="138"/>
    <n v="50"/>
    <n v="26200"/>
    <n v="0"/>
    <n v="0"/>
    <n v="0"/>
    <n v="0"/>
    <n v="0"/>
    <n v="0"/>
    <n v="0"/>
    <n v="0"/>
    <n v="0"/>
    <n v="0"/>
    <n v="8"/>
    <n v="4367"/>
    <n v="545.875"/>
    <n v="11"/>
    <n v="6004.625"/>
    <n v="11"/>
    <n v="6004.625"/>
    <n v="11"/>
    <n v="6004.625"/>
  </r>
  <r>
    <x v="5"/>
    <s v="ANDRES ALEJANDRO HINCAPIE MEJIA"/>
    <s v="BOLSAS"/>
    <x v="139"/>
    <x v="139"/>
    <n v="0"/>
    <n v="0"/>
    <n v="0"/>
    <n v="0"/>
    <n v="0"/>
    <n v="0"/>
    <n v="50"/>
    <n v="43250"/>
    <n v="0"/>
    <n v="0"/>
    <n v="0"/>
    <n v="0"/>
    <n v="8"/>
    <n v="7208"/>
    <n v="901"/>
    <n v="11"/>
    <n v="9911"/>
    <n v="11"/>
    <n v="9911"/>
    <n v="11"/>
    <n v="9911"/>
  </r>
  <r>
    <x v="5"/>
    <s v="ANDRES ALEJANDRO HINCAPIE MEJIA"/>
    <s v="BOLSAS"/>
    <x v="140"/>
    <x v="140"/>
    <n v="50"/>
    <n v="39250"/>
    <n v="0"/>
    <n v="0"/>
    <n v="0"/>
    <n v="0"/>
    <n v="50"/>
    <n v="39250"/>
    <n v="0"/>
    <n v="0"/>
    <n v="0"/>
    <n v="0"/>
    <n v="17"/>
    <n v="13083"/>
    <n v="769.58823529411768"/>
    <n v="22"/>
    <n v="16930.941176470587"/>
    <n v="22"/>
    <n v="16930.941176470587"/>
    <n v="22"/>
    <n v="16930.941176470587"/>
  </r>
  <r>
    <x v="5"/>
    <s v="ANDRES HUMBERTO CALDERON FLOREZ"/>
    <s v="Salseros"/>
    <x v="108"/>
    <x v="108"/>
    <n v="0"/>
    <n v="0"/>
    <n v="0"/>
    <n v="0"/>
    <n v="0"/>
    <n v="0"/>
    <n v="2500"/>
    <n v="96250"/>
    <n v="0"/>
    <n v="0"/>
    <n v="0"/>
    <n v="0"/>
    <n v="417"/>
    <n v="16042"/>
    <n v="38.470023980815348"/>
    <n v="542"/>
    <n v="20850.752997601918"/>
    <n v="542"/>
    <n v="20850.752997601918"/>
    <n v="542"/>
    <n v="20850.752997601918"/>
  </r>
  <r>
    <x v="5"/>
    <s v="ANGY CAROLINA CIRO VALENCIA"/>
    <s v="Salseros"/>
    <x v="108"/>
    <x v="108"/>
    <n v="0"/>
    <n v="0"/>
    <n v="0"/>
    <n v="0"/>
    <n v="0"/>
    <n v="0"/>
    <n v="0"/>
    <n v="0"/>
    <n v="10000"/>
    <n v="362000"/>
    <n v="0"/>
    <n v="0"/>
    <n v="1667"/>
    <n v="60333"/>
    <n v="36.192561487702463"/>
    <n v="2167"/>
    <n v="78429.280743851239"/>
    <n v="2167"/>
    <n v="78429.280743851239"/>
    <n v="2167"/>
    <n v="78429.280743851239"/>
  </r>
  <r>
    <x v="5"/>
    <s v="ANGY CAROLINA CIRO VALENCIA"/>
    <s v="Salseros"/>
    <x v="110"/>
    <x v="110"/>
    <n v="0"/>
    <n v="0"/>
    <n v="0"/>
    <n v="0"/>
    <n v="0"/>
    <n v="0"/>
    <n v="0"/>
    <n v="0"/>
    <n v="10000"/>
    <n v="362000"/>
    <n v="0"/>
    <n v="0"/>
    <n v="1667"/>
    <n v="60333"/>
    <n v="36.192561487702463"/>
    <n v="2167"/>
    <n v="78429.280743851239"/>
    <n v="2167"/>
    <n v="78429.280743851239"/>
    <n v="2167"/>
    <n v="78429.280743851239"/>
  </r>
  <r>
    <x v="5"/>
    <s v="ARTURO  MEJIA TOBO"/>
    <s v="BOLSAS"/>
    <x v="141"/>
    <x v="141"/>
    <n v="0"/>
    <n v="0"/>
    <n v="0"/>
    <n v="0"/>
    <n v="0"/>
    <n v="0"/>
    <n v="50"/>
    <n v="45250"/>
    <n v="0"/>
    <n v="0"/>
    <n v="0"/>
    <n v="0"/>
    <n v="8"/>
    <n v="7542"/>
    <n v="942.75"/>
    <n v="11"/>
    <n v="10370.25"/>
    <n v="11"/>
    <n v="10370.25"/>
    <n v="11"/>
    <n v="10370.25"/>
  </r>
  <r>
    <x v="5"/>
    <s v="ARTURO  MEJIA TOBO"/>
    <s v="BOLSAS"/>
    <x v="139"/>
    <x v="139"/>
    <n v="0"/>
    <n v="0"/>
    <n v="0"/>
    <n v="0"/>
    <n v="0"/>
    <n v="0"/>
    <n v="50"/>
    <n v="43250"/>
    <n v="0"/>
    <n v="0"/>
    <n v="0"/>
    <n v="0"/>
    <n v="8"/>
    <n v="7208"/>
    <n v="901"/>
    <n v="11"/>
    <n v="9911"/>
    <n v="11"/>
    <n v="9911"/>
    <n v="11"/>
    <n v="9911"/>
  </r>
  <r>
    <x v="5"/>
    <s v="AURA CRISTINA BARTOLO ALVAREZ"/>
    <s v="PLATOS"/>
    <x v="142"/>
    <x v="142"/>
    <n v="0"/>
    <n v="0"/>
    <n v="0"/>
    <n v="0"/>
    <n v="0"/>
    <n v="0"/>
    <n v="60"/>
    <n v="17520"/>
    <n v="0"/>
    <n v="0"/>
    <n v="0"/>
    <n v="0"/>
    <n v="10"/>
    <n v="2920"/>
    <n v="292"/>
    <n v="13"/>
    <n v="3796"/>
    <n v="13"/>
    <n v="3796"/>
    <n v="13"/>
    <n v="3796"/>
  </r>
  <r>
    <x v="5"/>
    <s v="AURA CRISTINA BARTOLO ALVAREZ"/>
    <s v="PLATOS"/>
    <x v="143"/>
    <x v="143"/>
    <n v="0"/>
    <n v="0"/>
    <n v="0"/>
    <n v="0"/>
    <n v="0"/>
    <n v="0"/>
    <n v="100"/>
    <n v="42000"/>
    <n v="0"/>
    <n v="0"/>
    <n v="0"/>
    <n v="0"/>
    <n v="17"/>
    <n v="7000"/>
    <n v="411.76470588235293"/>
    <n v="22"/>
    <n v="9058.823529411764"/>
    <n v="22"/>
    <n v="9058.823529411764"/>
    <n v="22"/>
    <n v="9058.823529411764"/>
  </r>
  <r>
    <x v="5"/>
    <s v="BETTY'S GROUP SAS"/>
    <s v="SEEDPACK"/>
    <x v="100"/>
    <x v="100"/>
    <n v="0"/>
    <n v="0"/>
    <n v="300"/>
    <n v="263700"/>
    <n v="0"/>
    <n v="0"/>
    <n v="200"/>
    <n v="175800"/>
    <n v="0"/>
    <n v="0"/>
    <n v="0"/>
    <n v="0"/>
    <n v="83"/>
    <n v="73250"/>
    <n v="882.53012048192772"/>
    <n v="108"/>
    <n v="95313.253012048197"/>
    <n v="108"/>
    <n v="95313.253012048197"/>
    <n v="108"/>
    <n v="95313.253012048197"/>
  </r>
  <r>
    <x v="5"/>
    <s v="BETTY'S GROUP SAS"/>
    <s v="SEEDPACK"/>
    <x v="118"/>
    <x v="118"/>
    <n v="0"/>
    <n v="0"/>
    <n v="0"/>
    <n v="0"/>
    <n v="0"/>
    <n v="0"/>
    <n v="300"/>
    <n v="120600"/>
    <n v="0"/>
    <n v="0"/>
    <n v="0"/>
    <n v="0"/>
    <n v="50"/>
    <n v="20100"/>
    <n v="402"/>
    <n v="65"/>
    <n v="26130"/>
    <n v="65"/>
    <n v="26130"/>
    <n v="65"/>
    <n v="26130"/>
  </r>
  <r>
    <x v="5"/>
    <s v="BM CAUCASIA S.A.S"/>
    <s v="Salseros"/>
    <x v="132"/>
    <x v="132"/>
    <n v="0"/>
    <n v="0"/>
    <n v="10000"/>
    <n v="420000"/>
    <n v="0"/>
    <n v="0"/>
    <n v="0"/>
    <n v="0"/>
    <n v="5000"/>
    <n v="210000"/>
    <n v="0"/>
    <n v="0"/>
    <n v="2500"/>
    <n v="105000"/>
    <n v="42"/>
    <n v="3250"/>
    <n v="136500"/>
    <n v="3250"/>
    <n v="136500"/>
    <n v="3250"/>
    <n v="136500"/>
  </r>
  <r>
    <x v="5"/>
    <s v="BRIAN FELIPE MEJIA MAHECHA"/>
    <s v="SEEDPACK"/>
    <x v="118"/>
    <x v="118"/>
    <n v="0"/>
    <n v="0"/>
    <n v="0"/>
    <n v="0"/>
    <n v="60"/>
    <n v="29280"/>
    <n v="0"/>
    <n v="0"/>
    <n v="0"/>
    <n v="0"/>
    <n v="0"/>
    <n v="0"/>
    <n v="10"/>
    <n v="4880"/>
    <n v="488"/>
    <n v="13"/>
    <n v="6344"/>
    <n v="13"/>
    <n v="6344"/>
    <n v="13"/>
    <n v="6344"/>
  </r>
  <r>
    <x v="5"/>
    <s v="BRIGITTE PAOLA RUIZ FLOREZ"/>
    <s v="BOLSAS"/>
    <x v="141"/>
    <x v="141"/>
    <n v="0"/>
    <n v="0"/>
    <n v="0"/>
    <n v="0"/>
    <n v="0"/>
    <n v="0"/>
    <n v="0"/>
    <n v="0"/>
    <n v="100"/>
    <n v="90500"/>
    <n v="0"/>
    <n v="0"/>
    <n v="17"/>
    <n v="15083"/>
    <n v="887.23529411764707"/>
    <n v="22"/>
    <n v="19519.176470588234"/>
    <n v="22"/>
    <n v="19519.176470588234"/>
    <n v="22"/>
    <n v="19519.176470588234"/>
  </r>
  <r>
    <x v="5"/>
    <s v="BRIGITTE PAOLA RUIZ FLOREZ"/>
    <s v="BOLSAS"/>
    <x v="139"/>
    <x v="139"/>
    <n v="0"/>
    <n v="0"/>
    <n v="0"/>
    <n v="0"/>
    <n v="0"/>
    <n v="0"/>
    <n v="0"/>
    <n v="0"/>
    <n v="300"/>
    <n v="259500"/>
    <n v="0"/>
    <n v="0"/>
    <n v="50"/>
    <n v="43250"/>
    <n v="865"/>
    <n v="65"/>
    <n v="56225"/>
    <n v="65"/>
    <n v="56225"/>
    <n v="65"/>
    <n v="56225"/>
  </r>
  <r>
    <x v="5"/>
    <s v="BRIGITTE PAOLA RUIZ FLOREZ"/>
    <s v="BOLSAS"/>
    <x v="140"/>
    <x v="140"/>
    <n v="0"/>
    <n v="0"/>
    <n v="0"/>
    <n v="0"/>
    <n v="0"/>
    <n v="0"/>
    <n v="0"/>
    <n v="0"/>
    <n v="500"/>
    <n v="392500"/>
    <n v="0"/>
    <n v="0"/>
    <n v="83"/>
    <n v="65417"/>
    <n v="788.15662650602405"/>
    <n v="108"/>
    <n v="85120.915662650601"/>
    <n v="108"/>
    <n v="85120.915662650601"/>
    <n v="108"/>
    <n v="85120.915662650601"/>
  </r>
  <r>
    <x v="5"/>
    <s v="BUFALO´S MIX SAS"/>
    <s v="Salseros"/>
    <x v="132"/>
    <x v="132"/>
    <n v="0"/>
    <n v="0"/>
    <n v="0"/>
    <n v="0"/>
    <n v="5000"/>
    <n v="189000"/>
    <n v="0"/>
    <n v="0"/>
    <n v="0"/>
    <n v="0"/>
    <n v="0"/>
    <n v="0"/>
    <n v="833"/>
    <n v="31500"/>
    <n v="37.815126050420169"/>
    <n v="1083"/>
    <n v="40953.781512605041"/>
    <n v="1083"/>
    <n v="40953.781512605041"/>
    <n v="1083"/>
    <n v="40953.781512605041"/>
  </r>
  <r>
    <x v="5"/>
    <s v="CAFETERIA LASCONI SAS"/>
    <s v="SEEDPACK"/>
    <x v="94"/>
    <x v="94"/>
    <n v="0"/>
    <n v="0"/>
    <n v="8000"/>
    <n v="984000"/>
    <n v="0"/>
    <n v="0"/>
    <n v="0"/>
    <n v="0"/>
    <n v="0"/>
    <n v="0"/>
    <n v="0"/>
    <n v="0"/>
    <n v="1333"/>
    <n v="164000"/>
    <n v="123.03075768942236"/>
    <n v="1733"/>
    <n v="213212.30307576896"/>
    <n v="1733"/>
    <n v="213212.30307576896"/>
    <n v="1733"/>
    <n v="213212.30307576896"/>
  </r>
  <r>
    <x v="5"/>
    <s v="CAMILA  GONZALEZ GAVIRIA"/>
    <s v="BOLSAS"/>
    <x v="140"/>
    <x v="140"/>
    <n v="0"/>
    <n v="0"/>
    <n v="0"/>
    <n v="0"/>
    <n v="0"/>
    <n v="0"/>
    <n v="100"/>
    <n v="78500"/>
    <n v="0"/>
    <n v="0"/>
    <n v="0"/>
    <n v="0"/>
    <n v="17"/>
    <n v="13083"/>
    <n v="769.58823529411768"/>
    <n v="22"/>
    <n v="16930.941176470587"/>
    <n v="22"/>
    <n v="16930.941176470587"/>
    <n v="22"/>
    <n v="16930.941176470587"/>
  </r>
  <r>
    <x v="5"/>
    <s v="CARLOS AMIDO SANCHEZ"/>
    <s v="PLATOS"/>
    <x v="144"/>
    <x v="144"/>
    <n v="0"/>
    <n v="0"/>
    <n v="0"/>
    <n v="0"/>
    <n v="0"/>
    <n v="0"/>
    <n v="720"/>
    <n v="135360"/>
    <n v="0"/>
    <n v="0"/>
    <n v="0"/>
    <n v="0"/>
    <n v="120"/>
    <n v="22560"/>
    <n v="188"/>
    <n v="156"/>
    <n v="29328"/>
    <n v="156"/>
    <n v="29328"/>
    <n v="156"/>
    <n v="29328"/>
  </r>
  <r>
    <x v="5"/>
    <s v="CARLOS AMIDO SANCHEZ"/>
    <s v="PLATOS"/>
    <x v="143"/>
    <x v="143"/>
    <n v="0"/>
    <n v="0"/>
    <n v="0"/>
    <n v="0"/>
    <n v="0"/>
    <n v="0"/>
    <n v="600"/>
    <n v="253800"/>
    <n v="0"/>
    <n v="0"/>
    <n v="0"/>
    <n v="0"/>
    <n v="100"/>
    <n v="42300"/>
    <n v="423"/>
    <n v="130"/>
    <n v="54990"/>
    <n v="130"/>
    <n v="54990"/>
    <n v="130"/>
    <n v="54990"/>
  </r>
  <r>
    <x v="5"/>
    <s v="CARLOS MIGUEL SILVEIRA AZEVEDO"/>
    <s v="SEEDPACK"/>
    <x v="135"/>
    <x v="135"/>
    <n v="0"/>
    <n v="0"/>
    <n v="0"/>
    <n v="0"/>
    <n v="0"/>
    <n v="0"/>
    <n v="80"/>
    <n v="35520"/>
    <n v="0"/>
    <n v="0"/>
    <n v="0"/>
    <n v="0"/>
    <n v="13"/>
    <n v="5920"/>
    <n v="455.38461538461536"/>
    <n v="17"/>
    <n v="7741.538461538461"/>
    <n v="17"/>
    <n v="7741.538461538461"/>
    <n v="17"/>
    <n v="7741.538461538461"/>
  </r>
  <r>
    <x v="5"/>
    <s v="CAROLINA  GAMBOA TRUJILLO"/>
    <s v="SEEDPACK"/>
    <x v="145"/>
    <x v="145"/>
    <n v="50"/>
    <n v="176950"/>
    <n v="0"/>
    <n v="0"/>
    <n v="0"/>
    <n v="0"/>
    <n v="0"/>
    <n v="0"/>
    <n v="50"/>
    <n v="176950"/>
    <n v="0"/>
    <n v="0"/>
    <n v="17"/>
    <n v="58983"/>
    <n v="3469.5882352941176"/>
    <n v="22"/>
    <n v="76330.941176470587"/>
    <n v="22"/>
    <n v="76330.941176470587"/>
    <n v="22"/>
    <n v="76330.941176470587"/>
  </r>
  <r>
    <x v="5"/>
    <s v="CAROLINA  GAMBOA TRUJILLO"/>
    <s v="SEEDPACK"/>
    <x v="146"/>
    <x v="146"/>
    <n v="50"/>
    <n v="154850"/>
    <n v="0"/>
    <n v="0"/>
    <n v="0"/>
    <n v="0"/>
    <n v="0"/>
    <n v="0"/>
    <n v="50"/>
    <n v="154850"/>
    <n v="0"/>
    <n v="0"/>
    <n v="17"/>
    <n v="51617"/>
    <n v="3036.294117647059"/>
    <n v="22"/>
    <n v="66798.470588235301"/>
    <n v="22"/>
    <n v="66798.470588235301"/>
    <n v="22"/>
    <n v="66798.470588235301"/>
  </r>
  <r>
    <x v="5"/>
    <s v="CAROLINA  HERNANDEZ"/>
    <s v="BOLSAS"/>
    <x v="139"/>
    <x v="139"/>
    <n v="0"/>
    <n v="0"/>
    <n v="0"/>
    <n v="0"/>
    <n v="0"/>
    <n v="0"/>
    <n v="50"/>
    <n v="43250"/>
    <n v="0"/>
    <n v="0"/>
    <n v="0"/>
    <n v="0"/>
    <n v="8"/>
    <n v="7208"/>
    <n v="901"/>
    <n v="11"/>
    <n v="9911"/>
    <n v="11"/>
    <n v="9911"/>
    <n v="11"/>
    <n v="9911"/>
  </r>
  <r>
    <x v="5"/>
    <s v="CAROLINA  HERNANDEZ"/>
    <s v="BOLSAS"/>
    <x v="140"/>
    <x v="140"/>
    <n v="0"/>
    <n v="0"/>
    <n v="0"/>
    <n v="0"/>
    <n v="0"/>
    <n v="0"/>
    <n v="50"/>
    <n v="39250"/>
    <n v="0"/>
    <n v="0"/>
    <n v="0"/>
    <n v="0"/>
    <n v="8"/>
    <n v="6542"/>
    <n v="817.75"/>
    <n v="11"/>
    <n v="8995.25"/>
    <n v="11"/>
    <n v="8995.25"/>
    <n v="11"/>
    <n v="8995.25"/>
  </r>
  <r>
    <x v="5"/>
    <s v="CATALINA  PEREZ MONTOYA"/>
    <s v="BOLSAS"/>
    <x v="141"/>
    <x v="141"/>
    <n v="0"/>
    <n v="0"/>
    <n v="0"/>
    <n v="0"/>
    <n v="100"/>
    <n v="95700"/>
    <n v="0"/>
    <n v="0"/>
    <n v="0"/>
    <n v="0"/>
    <n v="0"/>
    <n v="0"/>
    <n v="17"/>
    <n v="15950"/>
    <n v="938.23529411764707"/>
    <n v="22"/>
    <n v="20641.176470588234"/>
    <n v="22"/>
    <n v="20641.176470588234"/>
    <n v="22"/>
    <n v="20641.176470588234"/>
  </r>
  <r>
    <x v="5"/>
    <s v="CATALINA  PEREZ MONTOYA"/>
    <s v="BOLSAS"/>
    <x v="139"/>
    <x v="139"/>
    <n v="0"/>
    <n v="0"/>
    <n v="0"/>
    <n v="0"/>
    <n v="200"/>
    <n v="181200"/>
    <n v="0"/>
    <n v="0"/>
    <n v="0"/>
    <n v="0"/>
    <n v="0"/>
    <n v="0"/>
    <n v="33"/>
    <n v="30200"/>
    <n v="915.15151515151513"/>
    <n v="43"/>
    <n v="39351.515151515152"/>
    <n v="43"/>
    <n v="39351.515151515152"/>
    <n v="43"/>
    <n v="39351.515151515152"/>
  </r>
  <r>
    <x v="5"/>
    <s v="CATALINA  PEREZ MONTOYA"/>
    <s v="BOLSAS"/>
    <x v="140"/>
    <x v="140"/>
    <n v="0"/>
    <n v="0"/>
    <n v="0"/>
    <n v="0"/>
    <n v="200"/>
    <n v="165600"/>
    <n v="0"/>
    <n v="0"/>
    <n v="0"/>
    <n v="0"/>
    <n v="0"/>
    <n v="0"/>
    <n v="33"/>
    <n v="27600"/>
    <n v="836.36363636363637"/>
    <n v="43"/>
    <n v="35963.636363636368"/>
    <n v="43"/>
    <n v="35963.636363636368"/>
    <n v="43"/>
    <n v="35963.636363636368"/>
  </r>
  <r>
    <x v="5"/>
    <s v="COCINA DE MERCADO SAS"/>
    <s v="FLETE VENTAS"/>
    <x v="147"/>
    <x v="147"/>
    <n v="1"/>
    <n v="15000"/>
    <n v="2"/>
    <n v="30000"/>
    <n v="1"/>
    <n v="15000"/>
    <n v="3"/>
    <n v="45000"/>
    <n v="2"/>
    <n v="30000"/>
    <n v="1"/>
    <n v="22143"/>
    <n v="2"/>
    <n v="26190"/>
    <n v="13095"/>
    <n v="2"/>
    <n v="26190"/>
    <n v="2"/>
    <n v="26190"/>
    <n v="2"/>
    <n v="26190"/>
  </r>
  <r>
    <x v="5"/>
    <s v="COCINA DE MERCADO SAS"/>
    <s v="SEEDPACK"/>
    <x v="95"/>
    <x v="95"/>
    <n v="50"/>
    <n v="72550"/>
    <n v="90"/>
    <n v="130590"/>
    <n v="40"/>
    <n v="58040"/>
    <n v="70"/>
    <n v="101570"/>
    <n v="90"/>
    <n v="130590"/>
    <n v="59"/>
    <n v="89989"/>
    <n v="67"/>
    <n v="97221"/>
    <n v="1451.0597014925372"/>
    <n v="86"/>
    <n v="124791.1343283582"/>
    <n v="86"/>
    <n v="124791.1343283582"/>
    <n v="86"/>
    <n v="124791.1343283582"/>
  </r>
  <r>
    <x v="5"/>
    <s v="COCINA DE MERCADO SAS"/>
    <s v="SEEDPACK"/>
    <x v="97"/>
    <x v="97"/>
    <n v="60"/>
    <n v="153120"/>
    <n v="130"/>
    <n v="331760"/>
    <n v="0"/>
    <n v="0"/>
    <n v="100"/>
    <n v="255200"/>
    <n v="110"/>
    <n v="280720"/>
    <n v="74"/>
    <n v="197810"/>
    <n v="79"/>
    <n v="203102"/>
    <n v="2570.9113924050635"/>
    <n v="103"/>
    <n v="264803.87341772154"/>
    <n v="103"/>
    <n v="264803.87341772154"/>
    <n v="103"/>
    <n v="264803.87341772154"/>
  </r>
  <r>
    <x v="5"/>
    <s v="COCINA DE MERCADO SAS"/>
    <s v="SEEDPACK"/>
    <x v="98"/>
    <x v="98"/>
    <n v="0"/>
    <n v="0"/>
    <n v="0"/>
    <n v="0"/>
    <n v="0"/>
    <n v="0"/>
    <n v="20"/>
    <n v="24940"/>
    <n v="0"/>
    <n v="0"/>
    <n v="0"/>
    <n v="0"/>
    <n v="3"/>
    <n v="4157"/>
    <n v="1385.6666666666667"/>
    <n v="4"/>
    <n v="5542.666666666667"/>
    <n v="4"/>
    <n v="5542.666666666667"/>
    <n v="4"/>
    <n v="5542.666666666667"/>
  </r>
  <r>
    <x v="5"/>
    <s v="COCINA DE MERCADO SAS"/>
    <s v="SEEDPACK"/>
    <x v="99"/>
    <x v="99"/>
    <n v="0"/>
    <n v="0"/>
    <n v="0"/>
    <n v="0"/>
    <n v="0"/>
    <n v="0"/>
    <n v="30"/>
    <n v="63060"/>
    <n v="0"/>
    <n v="0"/>
    <n v="0"/>
    <n v="0"/>
    <n v="5"/>
    <n v="10510"/>
    <n v="2102"/>
    <n v="6"/>
    <n v="12612"/>
    <n v="6"/>
    <n v="12612"/>
    <n v="6"/>
    <n v="12612"/>
  </r>
  <r>
    <x v="5"/>
    <s v="COCINA DE MERCADO SAS"/>
    <s v="SEEDPACK"/>
    <x v="148"/>
    <x v="148"/>
    <n v="0"/>
    <n v="0"/>
    <n v="0"/>
    <n v="0"/>
    <n v="50"/>
    <n v="141400"/>
    <n v="0"/>
    <n v="0"/>
    <n v="0"/>
    <n v="0"/>
    <n v="0"/>
    <n v="0"/>
    <n v="8"/>
    <n v="23567"/>
    <n v="2945.875"/>
    <n v="11"/>
    <n v="32404.625"/>
    <n v="11"/>
    <n v="32404.625"/>
    <n v="11"/>
    <n v="32404.625"/>
  </r>
  <r>
    <x v="5"/>
    <s v="COMERCIALI S.A.S"/>
    <s v="SEEDPACK"/>
    <x v="94"/>
    <x v="94"/>
    <n v="0"/>
    <n v="0"/>
    <n v="0"/>
    <n v="0"/>
    <n v="2000"/>
    <n v="162000"/>
    <n v="2000"/>
    <n v="162000"/>
    <n v="4000"/>
    <n v="324000"/>
    <n v="5905"/>
    <n v="478286"/>
    <n v="2317"/>
    <n v="187714"/>
    <n v="81.015968925334491"/>
    <n v="3013"/>
    <n v="244101.11437203281"/>
    <n v="3013"/>
    <n v="244101.11437203281"/>
    <n v="3013"/>
    <n v="244101.11437203281"/>
  </r>
  <r>
    <x v="5"/>
    <s v="COMERCIALI S.A.S"/>
    <s v="SEEDPACK"/>
    <x v="113"/>
    <x v="113"/>
    <n v="2160"/>
    <n v="989280"/>
    <n v="0"/>
    <n v="0"/>
    <n v="0"/>
    <n v="0"/>
    <n v="1440"/>
    <n v="659520"/>
    <n v="1440"/>
    <n v="659520"/>
    <n v="2126"/>
    <n v="973577"/>
    <n v="1194"/>
    <n v="546983"/>
    <n v="458.10971524288107"/>
    <n v="1553"/>
    <n v="711444.38777219434"/>
    <n v="1553"/>
    <n v="711444.38777219434"/>
    <n v="1553"/>
    <n v="711444.38777219434"/>
  </r>
  <r>
    <x v="5"/>
    <s v="COMERCIALI S.A.S"/>
    <s v="SEEDPACK"/>
    <x v="95"/>
    <x v="95"/>
    <n v="0"/>
    <n v="0"/>
    <n v="0"/>
    <n v="0"/>
    <n v="0"/>
    <n v="0"/>
    <n v="100"/>
    <n v="117200"/>
    <n v="0"/>
    <n v="0"/>
    <n v="0"/>
    <n v="0"/>
    <n v="17"/>
    <n v="19533"/>
    <n v="1149"/>
    <n v="22"/>
    <n v="25278"/>
    <n v="22"/>
    <n v="25278"/>
    <n v="22"/>
    <n v="25278"/>
  </r>
  <r>
    <x v="5"/>
    <s v="COMERCIALI S.A.S"/>
    <s v="SEEDPACK"/>
    <x v="97"/>
    <x v="97"/>
    <n v="0"/>
    <n v="0"/>
    <n v="0"/>
    <n v="0"/>
    <n v="0"/>
    <n v="0"/>
    <n v="50"/>
    <n v="103050"/>
    <n v="0"/>
    <n v="0"/>
    <n v="0"/>
    <n v="0"/>
    <n v="8"/>
    <n v="17175"/>
    <n v="2146.875"/>
    <n v="11"/>
    <n v="23615.625"/>
    <n v="11"/>
    <n v="23615.625"/>
    <n v="11"/>
    <n v="23615.625"/>
  </r>
  <r>
    <x v="5"/>
    <s v="COMERCIALI S.A.S"/>
    <s v="SEEDPACK"/>
    <x v="130"/>
    <x v="130"/>
    <n v="2000"/>
    <n v="2860000"/>
    <n v="0"/>
    <n v="0"/>
    <n v="500"/>
    <n v="715000"/>
    <n v="0"/>
    <n v="0"/>
    <n v="0"/>
    <n v="0"/>
    <n v="0"/>
    <n v="0"/>
    <n v="417"/>
    <n v="595833"/>
    <n v="1428.8561151079136"/>
    <n v="542"/>
    <n v="774440.01438848919"/>
    <n v="542"/>
    <n v="774440.01438848919"/>
    <n v="542"/>
    <n v="774440.01438848919"/>
  </r>
  <r>
    <x v="5"/>
    <s v="COMERCIALI S.A.S"/>
    <s v="SEEDPACK"/>
    <x v="99"/>
    <x v="99"/>
    <n v="0"/>
    <n v="0"/>
    <n v="0"/>
    <n v="0"/>
    <n v="0"/>
    <n v="0"/>
    <n v="0"/>
    <n v="0"/>
    <n v="0"/>
    <n v="0"/>
    <n v="148"/>
    <n v="250657"/>
    <n v="25"/>
    <n v="41776"/>
    <n v="1671.04"/>
    <n v="32"/>
    <n v="53473.279999999999"/>
    <n v="32"/>
    <n v="53473.279999999999"/>
    <n v="32"/>
    <n v="53473.279999999999"/>
  </r>
  <r>
    <x v="5"/>
    <s v="COMERCIALI S.A.S"/>
    <s v="SEEDPACK"/>
    <x v="118"/>
    <x v="118"/>
    <n v="0"/>
    <n v="0"/>
    <n v="0"/>
    <n v="0"/>
    <n v="300"/>
    <n v="117000"/>
    <n v="0"/>
    <n v="0"/>
    <n v="300"/>
    <n v="117000"/>
    <n v="0"/>
    <n v="0"/>
    <n v="100"/>
    <n v="39000"/>
    <n v="390"/>
    <n v="130"/>
    <n v="50700"/>
    <n v="130"/>
    <n v="50700"/>
    <n v="130"/>
    <n v="50700"/>
  </r>
  <r>
    <x v="5"/>
    <s v="COMERCIALI S.A.S"/>
    <s v="SEEDPACK"/>
    <x v="119"/>
    <x v="119"/>
    <n v="0"/>
    <n v="0"/>
    <n v="0"/>
    <n v="0"/>
    <n v="180"/>
    <n v="110880"/>
    <n v="0"/>
    <n v="0"/>
    <n v="0"/>
    <n v="0"/>
    <n v="0"/>
    <n v="0"/>
    <n v="30"/>
    <n v="18480"/>
    <n v="616"/>
    <n v="39"/>
    <n v="24024"/>
    <n v="39"/>
    <n v="24024"/>
    <n v="39"/>
    <n v="24024"/>
  </r>
  <r>
    <x v="5"/>
    <s v="COMERCIALI S.A.S"/>
    <s v="Salseros"/>
    <x v="108"/>
    <x v="108"/>
    <n v="0"/>
    <n v="0"/>
    <n v="0"/>
    <n v="0"/>
    <n v="0"/>
    <n v="0"/>
    <n v="0"/>
    <n v="0"/>
    <n v="5000"/>
    <n v="164500"/>
    <n v="0"/>
    <n v="0"/>
    <n v="833"/>
    <n v="27417"/>
    <n v="32.913565426170472"/>
    <n v="1083"/>
    <n v="35645.391356542619"/>
    <n v="1083"/>
    <n v="35645.391356542619"/>
    <n v="1083"/>
    <n v="35645.391356542619"/>
  </r>
  <r>
    <x v="5"/>
    <s v="COMERCIALIZADORA ECOCOSTA SAS"/>
    <s v="SEEDPACK"/>
    <x v="94"/>
    <x v="94"/>
    <n v="20000"/>
    <n v="1712000"/>
    <n v="0"/>
    <n v="0"/>
    <n v="10000"/>
    <n v="856000"/>
    <n v="20000"/>
    <n v="1712000"/>
    <n v="20000"/>
    <n v="1712000"/>
    <n v="0"/>
    <n v="0"/>
    <n v="11667"/>
    <n v="998667"/>
    <n v="85.597582926202108"/>
    <n v="15167"/>
    <n v="1298258.5402417073"/>
    <n v="15167"/>
    <n v="1298258.5402417073"/>
    <n v="15167"/>
    <n v="1298258.5402417073"/>
  </r>
  <r>
    <x v="5"/>
    <s v="COMERCIALIZADORA ECOCOSTA SAS"/>
    <s v="Salseros"/>
    <x v="110"/>
    <x v="110"/>
    <n v="0"/>
    <n v="0"/>
    <n v="0"/>
    <n v="0"/>
    <n v="0"/>
    <n v="0"/>
    <n v="0"/>
    <n v="0"/>
    <n v="0"/>
    <n v="0"/>
    <n v="22143"/>
    <n v="810429"/>
    <n v="3690"/>
    <n v="135071"/>
    <n v="36.604607046070463"/>
    <n v="4798"/>
    <n v="175628.90460704608"/>
    <n v="4798"/>
    <n v="175628.90460704608"/>
    <n v="4798"/>
    <n v="175628.90460704608"/>
  </r>
  <r>
    <x v="5"/>
    <s v="DEIBY ALEXANDER ESCOBAR ESCOBAR"/>
    <s v="SEEDPACK"/>
    <x v="94"/>
    <x v="94"/>
    <n v="0"/>
    <n v="0"/>
    <n v="0"/>
    <n v="0"/>
    <n v="0"/>
    <n v="0"/>
    <n v="0"/>
    <n v="0"/>
    <n v="2000"/>
    <n v="162000"/>
    <n v="0"/>
    <n v="0"/>
    <n v="333"/>
    <n v="27000"/>
    <n v="81.081081081081081"/>
    <n v="433"/>
    <n v="35108.108108108107"/>
    <n v="433"/>
    <n v="35108.108108108107"/>
    <n v="433"/>
    <n v="35108.108108108107"/>
  </r>
  <r>
    <x v="5"/>
    <s v="DEIBY ALEXANDER ESCOBAR ESCOBAR"/>
    <s v="SEEDPACK"/>
    <x v="118"/>
    <x v="118"/>
    <n v="0"/>
    <n v="0"/>
    <n v="0"/>
    <n v="0"/>
    <n v="0"/>
    <n v="0"/>
    <n v="0"/>
    <n v="0"/>
    <n v="600"/>
    <n v="234000"/>
    <n v="0"/>
    <n v="0"/>
    <n v="100"/>
    <n v="39000"/>
    <n v="390"/>
    <n v="130"/>
    <n v="50700"/>
    <n v="130"/>
    <n v="50700"/>
    <n v="130"/>
    <n v="50700"/>
  </r>
  <r>
    <x v="5"/>
    <s v="DEIBY ALEXANDER ESCOBAR ESCOBAR"/>
    <s v="Salseros"/>
    <x v="108"/>
    <x v="108"/>
    <n v="0"/>
    <n v="0"/>
    <n v="0"/>
    <n v="0"/>
    <n v="0"/>
    <n v="0"/>
    <n v="0"/>
    <n v="0"/>
    <n v="5000"/>
    <n v="164500"/>
    <n v="0"/>
    <n v="0"/>
    <n v="833"/>
    <n v="27417"/>
    <n v="32.913565426170472"/>
    <n v="1083"/>
    <n v="35645.391356542619"/>
    <n v="1083"/>
    <n v="35645.391356542619"/>
    <n v="1083"/>
    <n v="35645.391356542619"/>
  </r>
  <r>
    <x v="5"/>
    <s v="DESECHABLES OLGA LUCIA SAS"/>
    <s v="SEEDPACK"/>
    <x v="119"/>
    <x v="119"/>
    <n v="0"/>
    <n v="0"/>
    <n v="0"/>
    <n v="0"/>
    <n v="180"/>
    <n v="140220"/>
    <n v="0"/>
    <n v="0"/>
    <n v="360"/>
    <n v="277200"/>
    <n v="0"/>
    <n v="0"/>
    <n v="90"/>
    <n v="69570"/>
    <n v="773"/>
    <n v="117"/>
    <n v="90441"/>
    <n v="117"/>
    <n v="90441"/>
    <n v="117"/>
    <n v="90441"/>
  </r>
  <r>
    <x v="5"/>
    <s v="DIANA CARINA DUSSAN HERRERA"/>
    <s v="BOLSAS"/>
    <x v="141"/>
    <x v="141"/>
    <n v="0"/>
    <n v="0"/>
    <n v="0"/>
    <n v="0"/>
    <n v="0"/>
    <n v="0"/>
    <n v="0"/>
    <n v="0"/>
    <n v="50"/>
    <n v="45250"/>
    <n v="0"/>
    <n v="0"/>
    <n v="8"/>
    <n v="7542"/>
    <n v="942.75"/>
    <n v="11"/>
    <n v="10370.25"/>
    <n v="11"/>
    <n v="10370.25"/>
    <n v="11"/>
    <n v="10370.25"/>
  </r>
  <r>
    <x v="5"/>
    <s v="DIANA CARINA DUSSAN HERRERA"/>
    <s v="BOLSAS"/>
    <x v="139"/>
    <x v="139"/>
    <n v="0"/>
    <n v="0"/>
    <n v="0"/>
    <n v="0"/>
    <n v="0"/>
    <n v="0"/>
    <n v="0"/>
    <n v="0"/>
    <n v="50"/>
    <n v="43250"/>
    <n v="0"/>
    <n v="0"/>
    <n v="8"/>
    <n v="7208"/>
    <n v="901"/>
    <n v="11"/>
    <n v="9911"/>
    <n v="11"/>
    <n v="9911"/>
    <n v="11"/>
    <n v="9911"/>
  </r>
  <r>
    <x v="5"/>
    <s v="DIANA CARINA DUSSAN HERRERA"/>
    <s v="BOLSAS"/>
    <x v="140"/>
    <x v="140"/>
    <n v="0"/>
    <n v="0"/>
    <n v="0"/>
    <n v="0"/>
    <n v="0"/>
    <n v="0"/>
    <n v="0"/>
    <n v="0"/>
    <n v="50"/>
    <n v="39250"/>
    <n v="0"/>
    <n v="0"/>
    <n v="8"/>
    <n v="6542"/>
    <n v="817.75"/>
    <n v="11"/>
    <n v="8995.25"/>
    <n v="11"/>
    <n v="8995.25"/>
    <n v="11"/>
    <n v="8995.25"/>
  </r>
  <r>
    <x v="5"/>
    <s v="DIANA CATALINA ZAPATA GARCIA"/>
    <s v="OTROS"/>
    <x v="93"/>
    <x v="93"/>
    <n v="0"/>
    <n v="0"/>
    <n v="100"/>
    <n v="49700"/>
    <n v="0"/>
    <n v="0"/>
    <n v="0"/>
    <n v="0"/>
    <n v="0"/>
    <n v="0"/>
    <n v="0"/>
    <n v="0"/>
    <n v="17"/>
    <n v="8283"/>
    <n v="487.23529411764707"/>
    <n v="22"/>
    <n v="10719.176470588236"/>
    <n v="22"/>
    <n v="10719.176470588236"/>
    <n v="22"/>
    <n v="10719.176470588236"/>
  </r>
  <r>
    <x v="5"/>
    <s v="DIANA CATALINA ZAPATA GARCIA"/>
    <s v="PLATOS"/>
    <x v="144"/>
    <x v="144"/>
    <n v="0"/>
    <n v="0"/>
    <n v="100"/>
    <n v="18500"/>
    <n v="0"/>
    <n v="0"/>
    <n v="0"/>
    <n v="0"/>
    <n v="0"/>
    <n v="0"/>
    <n v="0"/>
    <n v="0"/>
    <n v="17"/>
    <n v="3083"/>
    <n v="181.35294117647058"/>
    <n v="22"/>
    <n v="3989.7647058823527"/>
    <n v="22"/>
    <n v="3989.7647058823527"/>
    <n v="22"/>
    <n v="3989.7647058823527"/>
  </r>
  <r>
    <x v="5"/>
    <s v="DIANA CATALINA ZAPATA GARCIA"/>
    <s v="PLATOS"/>
    <x v="143"/>
    <x v="143"/>
    <n v="0"/>
    <n v="0"/>
    <n v="200"/>
    <n v="83200"/>
    <n v="0"/>
    <n v="0"/>
    <n v="0"/>
    <n v="0"/>
    <n v="0"/>
    <n v="0"/>
    <n v="0"/>
    <n v="0"/>
    <n v="33"/>
    <n v="13867"/>
    <n v="420.21212121212119"/>
    <n v="43"/>
    <n v="18069.121212121212"/>
    <n v="43"/>
    <n v="18069.121212121212"/>
    <n v="43"/>
    <n v="18069.121212121212"/>
  </r>
  <r>
    <x v="5"/>
    <s v="DIANA CATALINA ZAPATA GARCIA"/>
    <s v="Salseros"/>
    <x v="110"/>
    <x v="110"/>
    <n v="0"/>
    <n v="0"/>
    <n v="1000"/>
    <n v="40000"/>
    <n v="0"/>
    <n v="0"/>
    <n v="0"/>
    <n v="0"/>
    <n v="0"/>
    <n v="0"/>
    <n v="0"/>
    <n v="0"/>
    <n v="167"/>
    <n v="6667"/>
    <n v="39.922155688622752"/>
    <n v="217"/>
    <n v="8663.1077844311367"/>
    <n v="217"/>
    <n v="8663.1077844311367"/>
    <n v="217"/>
    <n v="8663.1077844311367"/>
  </r>
  <r>
    <x v="5"/>
    <s v="DIANA CATALINA ZAPATA GARCIA"/>
    <s v="Salseros"/>
    <x v="132"/>
    <x v="132"/>
    <n v="0"/>
    <n v="0"/>
    <n v="1000"/>
    <n v="43000"/>
    <n v="0"/>
    <n v="0"/>
    <n v="0"/>
    <n v="0"/>
    <n v="0"/>
    <n v="0"/>
    <n v="0"/>
    <n v="0"/>
    <n v="167"/>
    <n v="7167"/>
    <n v="42.91616766467066"/>
    <n v="217"/>
    <n v="9312.8083832335324"/>
    <n v="217"/>
    <n v="9312.8083832335324"/>
    <n v="217"/>
    <n v="9312.8083832335324"/>
  </r>
  <r>
    <x v="5"/>
    <s v="DIANA CATALINA ZAPATA GARCIA"/>
    <s v="Salseros"/>
    <x v="149"/>
    <x v="149"/>
    <n v="0"/>
    <n v="0"/>
    <n v="1000"/>
    <n v="64000"/>
    <n v="0"/>
    <n v="0"/>
    <n v="0"/>
    <n v="0"/>
    <n v="0"/>
    <n v="0"/>
    <n v="0"/>
    <n v="0"/>
    <n v="167"/>
    <n v="10667"/>
    <n v="63.874251497005986"/>
    <n v="217"/>
    <n v="13860.712574850299"/>
    <n v="217"/>
    <n v="13860.712574850299"/>
    <n v="217"/>
    <n v="13860.712574850299"/>
  </r>
  <r>
    <x v="5"/>
    <s v="DIANA ROCIO RUEDA CARREÑO"/>
    <s v="BOLSAS"/>
    <x v="150"/>
    <x v="150"/>
    <n v="300"/>
    <n v="173700"/>
    <n v="0"/>
    <n v="0"/>
    <n v="0"/>
    <n v="0"/>
    <n v="0"/>
    <n v="0"/>
    <n v="0"/>
    <n v="0"/>
    <n v="0"/>
    <n v="0"/>
    <n v="50"/>
    <n v="28950"/>
    <n v="579"/>
    <n v="65"/>
    <n v="37635"/>
    <n v="65"/>
    <n v="37635"/>
    <n v="65"/>
    <n v="37635"/>
  </r>
  <r>
    <x v="5"/>
    <s v="DIANA ROCIO RUEDA CARREÑO"/>
    <s v="BOLSAS"/>
    <x v="151"/>
    <x v="151"/>
    <n v="250"/>
    <n v="125250"/>
    <n v="0"/>
    <n v="0"/>
    <n v="250"/>
    <n v="125250"/>
    <n v="500"/>
    <n v="250500"/>
    <n v="0"/>
    <n v="0"/>
    <n v="738"/>
    <n v="369786"/>
    <n v="290"/>
    <n v="145131"/>
    <n v="500.45172413793102"/>
    <n v="377"/>
    <n v="188670.3"/>
    <n v="377"/>
    <n v="188670.3"/>
    <n v="377"/>
    <n v="188670.3"/>
  </r>
  <r>
    <x v="5"/>
    <s v="DIANA ROCIO RUEDA CARREÑO"/>
    <s v="SEEDPACK"/>
    <x v="94"/>
    <x v="94"/>
    <n v="2000"/>
    <n v="171200"/>
    <n v="2000"/>
    <n v="171200"/>
    <n v="0"/>
    <n v="0"/>
    <n v="0"/>
    <n v="0"/>
    <n v="2000"/>
    <n v="171200"/>
    <n v="0"/>
    <n v="0"/>
    <n v="1000"/>
    <n v="85600"/>
    <n v="85.6"/>
    <n v="1300"/>
    <n v="111279.99999999999"/>
    <n v="1300"/>
    <n v="111279.99999999999"/>
    <n v="1300"/>
    <n v="111279.99999999999"/>
  </r>
  <r>
    <x v="5"/>
    <s v="DIANA ROCIO RUEDA CARREÑO"/>
    <s v="SEEDPACK"/>
    <x v="118"/>
    <x v="118"/>
    <n v="0"/>
    <n v="0"/>
    <n v="0"/>
    <n v="0"/>
    <n v="600"/>
    <n v="281400"/>
    <n v="0"/>
    <n v="0"/>
    <n v="0"/>
    <n v="0"/>
    <n v="0"/>
    <n v="0"/>
    <n v="100"/>
    <n v="46900"/>
    <n v="469"/>
    <n v="130"/>
    <n v="60970"/>
    <n v="130"/>
    <n v="60970"/>
    <n v="130"/>
    <n v="60970"/>
  </r>
  <r>
    <x v="5"/>
    <s v="DIANA ROCIO RUEDA CARREÑO"/>
    <s v="Salseros"/>
    <x v="108"/>
    <x v="108"/>
    <n v="5000"/>
    <n v="178000"/>
    <n v="10000"/>
    <n v="356000"/>
    <n v="0"/>
    <n v="0"/>
    <n v="0"/>
    <n v="0"/>
    <n v="10000"/>
    <n v="356000"/>
    <n v="0"/>
    <n v="0"/>
    <n v="4167"/>
    <n v="148333"/>
    <n v="35.597072234221265"/>
    <n v="5417"/>
    <n v="192829.34029277659"/>
    <n v="5417"/>
    <n v="192829.34029277659"/>
    <n v="5417"/>
    <n v="192829.34029277659"/>
  </r>
  <r>
    <x v="5"/>
    <s v="DIANA ROCIO RUEDA CARREÑO"/>
    <s v="Salseros"/>
    <x v="110"/>
    <x v="110"/>
    <n v="110000"/>
    <n v="3905000"/>
    <n v="100000"/>
    <n v="3550000"/>
    <n v="0"/>
    <n v="0"/>
    <n v="30000"/>
    <n v="1065000"/>
    <n v="100000"/>
    <n v="3550000"/>
    <n v="0"/>
    <n v="0"/>
    <n v="56667"/>
    <n v="2011667"/>
    <n v="35.499797060017293"/>
    <n v="73667"/>
    <n v="2615163.5500202938"/>
    <n v="73667"/>
    <n v="2615163.5500202938"/>
    <n v="73667"/>
    <n v="2615163.5500202938"/>
  </r>
  <r>
    <x v="5"/>
    <s v="DIANA ROCIO RUEDA CARREÑO"/>
    <s v="Salseros"/>
    <x v="132"/>
    <x v="132"/>
    <n v="0"/>
    <n v="0"/>
    <n v="0"/>
    <n v="0"/>
    <n v="0"/>
    <n v="0"/>
    <n v="0"/>
    <n v="0"/>
    <n v="5000"/>
    <n v="210000"/>
    <n v="0"/>
    <n v="0"/>
    <n v="833"/>
    <n v="35000"/>
    <n v="42.016806722689076"/>
    <n v="1083"/>
    <n v="45504.201680672268"/>
    <n v="1083"/>
    <n v="45504.201680672268"/>
    <n v="1083"/>
    <n v="45504.201680672268"/>
  </r>
  <r>
    <x v="5"/>
    <s v="DIEGO MAURICIO CARRILLO CHAVARRIA"/>
    <s v="SEEDPACK"/>
    <x v="113"/>
    <x v="113"/>
    <n v="0"/>
    <n v="0"/>
    <n v="0"/>
    <n v="0"/>
    <n v="0"/>
    <n v="0"/>
    <n v="0"/>
    <n v="0"/>
    <n v="500"/>
    <n v="281500"/>
    <n v="0"/>
    <n v="0"/>
    <n v="83"/>
    <n v="46917"/>
    <n v="565.26506024096386"/>
    <n v="108"/>
    <n v="61048.626506024098"/>
    <n v="108"/>
    <n v="61048.626506024098"/>
    <n v="108"/>
    <n v="61048.626506024098"/>
  </r>
  <r>
    <x v="5"/>
    <s v="DISTRIDESECHABLES ALAMEDA LOGISTICA S.A.S."/>
    <s v="SEEDPACK"/>
    <x v="94"/>
    <x v="94"/>
    <n v="0"/>
    <n v="0"/>
    <n v="20000"/>
    <n v="1712000"/>
    <n v="0"/>
    <n v="0"/>
    <n v="0"/>
    <n v="0"/>
    <n v="0"/>
    <n v="0"/>
    <n v="0"/>
    <n v="0"/>
    <n v="3333"/>
    <n v="285333"/>
    <n v="85.608460846084611"/>
    <n v="4333"/>
    <n v="370941.46084608464"/>
    <n v="4333"/>
    <n v="370941.46084608464"/>
    <n v="4333"/>
    <n v="370941.46084608464"/>
  </r>
  <r>
    <x v="5"/>
    <s v="DISTRIDESECHABLES ALAMEDA LOGISTICA S.A.S."/>
    <s v="SEEDPACK"/>
    <x v="118"/>
    <x v="118"/>
    <n v="0"/>
    <n v="0"/>
    <n v="300"/>
    <n v="140700"/>
    <n v="0"/>
    <n v="0"/>
    <n v="0"/>
    <n v="0"/>
    <n v="0"/>
    <n v="0"/>
    <n v="0"/>
    <n v="0"/>
    <n v="50"/>
    <n v="23450"/>
    <n v="469"/>
    <n v="65"/>
    <n v="30485"/>
    <n v="65"/>
    <n v="30485"/>
    <n v="65"/>
    <n v="30485"/>
  </r>
  <r>
    <x v="5"/>
    <s v="DIVA  CASTRO LOZANO"/>
    <s v="Salseros"/>
    <x v="108"/>
    <x v="108"/>
    <n v="10000"/>
    <n v="410000"/>
    <n v="10000"/>
    <n v="410000"/>
    <n v="20000"/>
    <n v="820000"/>
    <n v="10000"/>
    <n v="410000"/>
    <n v="0"/>
    <n v="0"/>
    <n v="14762"/>
    <n v="605238"/>
    <n v="10794"/>
    <n v="442540"/>
    <n v="40.998702983138777"/>
    <n v="14032"/>
    <n v="575293.8002594033"/>
    <n v="14032"/>
    <n v="575293.8002594033"/>
    <n v="14032"/>
    <n v="575293.8002594033"/>
  </r>
  <r>
    <x v="5"/>
    <s v="DIVERTRONICA MEDELLIN S.A.S."/>
    <s v="SEEDPACK"/>
    <x v="102"/>
    <x v="102"/>
    <n v="0"/>
    <n v="0"/>
    <n v="0"/>
    <n v="0"/>
    <n v="0"/>
    <n v="0"/>
    <n v="0"/>
    <n v="0"/>
    <n v="270"/>
    <n v="162000"/>
    <n v="0"/>
    <n v="0"/>
    <n v="45"/>
    <n v="27000"/>
    <n v="600"/>
    <n v="58"/>
    <n v="34800"/>
    <n v="58"/>
    <n v="34800"/>
    <n v="58"/>
    <n v="34800"/>
  </r>
  <r>
    <x v="5"/>
    <s v="DON RAMÓN MÁS QUE UN BURRO S.A.S."/>
    <s v="PLATOS"/>
    <x v="115"/>
    <x v="115"/>
    <n v="0"/>
    <n v="0"/>
    <n v="0"/>
    <n v="0"/>
    <n v="720"/>
    <n v="280800"/>
    <n v="0"/>
    <n v="0"/>
    <n v="0"/>
    <n v="0"/>
    <n v="0"/>
    <n v="0"/>
    <n v="120"/>
    <n v="46800"/>
    <n v="390"/>
    <n v="156"/>
    <n v="60840"/>
    <n v="156"/>
    <n v="60840"/>
    <n v="156"/>
    <n v="60840"/>
  </r>
  <r>
    <x v="5"/>
    <s v="DON RAMÓN MÁS QUE UN BURRO S.A.S."/>
    <s v="PLATOS"/>
    <x v="116"/>
    <x v="116"/>
    <n v="0"/>
    <n v="0"/>
    <n v="0"/>
    <n v="0"/>
    <n v="640"/>
    <n v="306560"/>
    <n v="0"/>
    <n v="0"/>
    <n v="0"/>
    <n v="0"/>
    <n v="0"/>
    <n v="0"/>
    <n v="107"/>
    <n v="51093"/>
    <n v="477.50467289719626"/>
    <n v="139"/>
    <n v="66373.149532710275"/>
    <n v="139"/>
    <n v="66373.149532710275"/>
    <n v="139"/>
    <n v="66373.149532710275"/>
  </r>
  <r>
    <x v="5"/>
    <s v="DON RAMÓN MÁS QUE UN BURRO S.A.S."/>
    <s v="PLATOS"/>
    <x v="152"/>
    <x v="152"/>
    <n v="0"/>
    <n v="0"/>
    <n v="0"/>
    <n v="0"/>
    <n v="480"/>
    <n v="296640"/>
    <n v="0"/>
    <n v="0"/>
    <n v="0"/>
    <n v="0"/>
    <n v="0"/>
    <n v="0"/>
    <n v="80"/>
    <n v="49440"/>
    <n v="618"/>
    <n v="104"/>
    <n v="64272"/>
    <n v="104"/>
    <n v="64272"/>
    <n v="104"/>
    <n v="64272"/>
  </r>
  <r>
    <x v="5"/>
    <s v="DON RAMÓN MÁS QUE UN BURRO S.A.S."/>
    <s v="SEEDPACK"/>
    <x v="120"/>
    <x v="120"/>
    <n v="900"/>
    <n v="963900"/>
    <n v="0"/>
    <n v="0"/>
    <n v="0"/>
    <n v="0"/>
    <n v="0"/>
    <n v="0"/>
    <n v="0"/>
    <n v="0"/>
    <n v="0"/>
    <n v="0"/>
    <n v="150"/>
    <n v="160650"/>
    <n v="1071"/>
    <n v="195"/>
    <n v="208845"/>
    <n v="195"/>
    <n v="208845"/>
    <n v="195"/>
    <n v="208845"/>
  </r>
  <r>
    <x v="5"/>
    <s v="DULSALIA S.A.S"/>
    <s v="SEEDPACK"/>
    <x v="119"/>
    <x v="119"/>
    <n v="0"/>
    <n v="0"/>
    <n v="180"/>
    <n v="138600"/>
    <n v="0"/>
    <n v="0"/>
    <n v="0"/>
    <n v="0"/>
    <n v="0"/>
    <n v="0"/>
    <n v="0"/>
    <n v="0"/>
    <n v="30"/>
    <n v="23100"/>
    <n v="770"/>
    <n v="39"/>
    <n v="30030"/>
    <n v="39"/>
    <n v="30030"/>
    <n v="39"/>
    <n v="30030"/>
  </r>
  <r>
    <x v="5"/>
    <s v="EDID JOHANA HINCAPIE RIOS"/>
    <s v="PLATOS"/>
    <x v="116"/>
    <x v="116"/>
    <n v="80"/>
    <n v="38320"/>
    <n v="0"/>
    <n v="0"/>
    <n v="0"/>
    <n v="0"/>
    <n v="0"/>
    <n v="0"/>
    <n v="0"/>
    <n v="0"/>
    <n v="0"/>
    <n v="0"/>
    <n v="13"/>
    <n v="6387"/>
    <n v="491.30769230769232"/>
    <n v="17"/>
    <n v="8352.2307692307695"/>
    <n v="17"/>
    <n v="8352.2307692307695"/>
    <n v="17"/>
    <n v="8352.2307692307695"/>
  </r>
  <r>
    <x v="5"/>
    <s v="EDID JOHANA HINCAPIE RIOS"/>
    <s v="SEEDPACK"/>
    <x v="153"/>
    <x v="153"/>
    <n v="80"/>
    <n v="27600"/>
    <n v="0"/>
    <n v="0"/>
    <n v="0"/>
    <n v="0"/>
    <n v="0"/>
    <n v="0"/>
    <n v="0"/>
    <n v="0"/>
    <n v="0"/>
    <n v="0"/>
    <n v="13"/>
    <n v="4600"/>
    <n v="353.84615384615387"/>
    <n v="17"/>
    <n v="6015.3846153846162"/>
    <n v="17"/>
    <n v="6015.3846153846162"/>
    <n v="17"/>
    <n v="6015.3846153846162"/>
  </r>
  <r>
    <x v="5"/>
    <s v="EDWIN FABIAN PENAGOS RODRIGUEZ"/>
    <s v="SEEDPACK"/>
    <x v="94"/>
    <x v="94"/>
    <n v="0"/>
    <n v="0"/>
    <n v="0"/>
    <n v="0"/>
    <n v="0"/>
    <n v="0"/>
    <n v="0"/>
    <n v="0"/>
    <n v="0"/>
    <n v="0"/>
    <n v="738"/>
    <n v="75286"/>
    <n v="123"/>
    <n v="12548"/>
    <n v="102.01626016260163"/>
    <n v="160"/>
    <n v="16322.60162601626"/>
    <n v="160"/>
    <n v="16322.60162601626"/>
    <n v="160"/>
    <n v="16322.60162601626"/>
  </r>
  <r>
    <x v="5"/>
    <s v="EDWIN FABIAN PENAGOS RODRIGUEZ"/>
    <s v="SEEDPACK"/>
    <x v="118"/>
    <x v="118"/>
    <n v="0"/>
    <n v="0"/>
    <n v="0"/>
    <n v="0"/>
    <n v="0"/>
    <n v="0"/>
    <n v="0"/>
    <n v="0"/>
    <n v="0"/>
    <n v="0"/>
    <n v="221"/>
    <n v="108057"/>
    <n v="37"/>
    <n v="18010"/>
    <n v="486.75675675675677"/>
    <n v="48"/>
    <n v="23364.324324324327"/>
    <n v="48"/>
    <n v="23364.324324324327"/>
    <n v="48"/>
    <n v="23364.324324324327"/>
  </r>
  <r>
    <x v="5"/>
    <s v="EDWIN FABIAN PENAGOS RODRIGUEZ"/>
    <s v="SEEDPACK"/>
    <x v="119"/>
    <x v="119"/>
    <n v="0"/>
    <n v="0"/>
    <n v="0"/>
    <n v="0"/>
    <n v="0"/>
    <n v="0"/>
    <n v="0"/>
    <n v="0"/>
    <n v="0"/>
    <n v="0"/>
    <n v="221"/>
    <n v="170500"/>
    <n v="37"/>
    <n v="28417"/>
    <n v="768.02702702702697"/>
    <n v="48"/>
    <n v="36865.297297297293"/>
    <n v="48"/>
    <n v="36865.297297297293"/>
    <n v="48"/>
    <n v="36865.297297297293"/>
  </r>
  <r>
    <x v="5"/>
    <s v="EDWIN FABIAN PENAGOS RODRIGUEZ"/>
    <s v="Salseros"/>
    <x v="108"/>
    <x v="108"/>
    <n v="0"/>
    <n v="0"/>
    <n v="0"/>
    <n v="0"/>
    <n v="0"/>
    <n v="0"/>
    <n v="0"/>
    <n v="0"/>
    <n v="0"/>
    <n v="0"/>
    <n v="7381"/>
    <n v="284167"/>
    <n v="1230"/>
    <n v="47361"/>
    <n v="38.50487804878049"/>
    <n v="1599"/>
    <n v="61569.3"/>
    <n v="1599"/>
    <n v="61569.3"/>
    <n v="1599"/>
    <n v="61569.3"/>
  </r>
  <r>
    <x v="5"/>
    <s v="EL ZORRO Y LA GITANA SAS"/>
    <s v="SEEDPACK"/>
    <x v="154"/>
    <x v="154"/>
    <n v="0"/>
    <n v="0"/>
    <n v="4000"/>
    <n v="1632000"/>
    <n v="0"/>
    <n v="0"/>
    <n v="0"/>
    <n v="0"/>
    <n v="0"/>
    <n v="0"/>
    <n v="0"/>
    <n v="0"/>
    <n v="667"/>
    <n v="272000"/>
    <n v="407.79610194902551"/>
    <n v="867"/>
    <n v="353559.22038980509"/>
    <n v="867"/>
    <n v="353559.22038980509"/>
    <n v="867"/>
    <n v="353559.22038980509"/>
  </r>
  <r>
    <x v="5"/>
    <s v="ELIZABETH ARANZA OÑATE"/>
    <s v="PLATOS"/>
    <x v="144"/>
    <x v="144"/>
    <n v="20"/>
    <n v="3760"/>
    <n v="0"/>
    <n v="0"/>
    <n v="0"/>
    <n v="0"/>
    <n v="0"/>
    <n v="0"/>
    <n v="0"/>
    <n v="0"/>
    <n v="0"/>
    <n v="0"/>
    <n v="3"/>
    <n v="627"/>
    <n v="209"/>
    <n v="4"/>
    <n v="836"/>
    <n v="4"/>
    <n v="836"/>
    <n v="4"/>
    <n v="836"/>
  </r>
  <r>
    <x v="5"/>
    <s v="ELIZABETH ARANZA OÑATE"/>
    <s v="PLATOS"/>
    <x v="143"/>
    <x v="143"/>
    <n v="40"/>
    <n v="16920"/>
    <n v="0"/>
    <n v="0"/>
    <n v="0"/>
    <n v="0"/>
    <n v="0"/>
    <n v="0"/>
    <n v="0"/>
    <n v="0"/>
    <n v="0"/>
    <n v="0"/>
    <n v="7"/>
    <n v="2820"/>
    <n v="402.85714285714283"/>
    <n v="9"/>
    <n v="3625.7142857142853"/>
    <n v="9"/>
    <n v="3625.7142857142853"/>
    <n v="9"/>
    <n v="3625.7142857142853"/>
  </r>
  <r>
    <x v="5"/>
    <s v="EMMA  GONZALEZ"/>
    <s v="PLATOS"/>
    <x v="155"/>
    <x v="155"/>
    <n v="0"/>
    <n v="0"/>
    <n v="0"/>
    <n v="0"/>
    <n v="500"/>
    <n v="169000"/>
    <n v="0"/>
    <n v="0"/>
    <n v="0"/>
    <n v="0"/>
    <n v="0"/>
    <n v="0"/>
    <n v="83"/>
    <n v="28167"/>
    <n v="339.36144578313252"/>
    <n v="108"/>
    <n v="36651.036144578313"/>
    <n v="108"/>
    <n v="36651.036144578313"/>
    <n v="108"/>
    <n v="36651.036144578313"/>
  </r>
  <r>
    <x v="5"/>
    <s v="EUREKA SOLUCIONES ECOLOGICAS Y PUBLICITARIAS  S.A.S"/>
    <s v="SEEDPACK"/>
    <x v="94"/>
    <x v="94"/>
    <n v="0"/>
    <n v="0"/>
    <n v="0"/>
    <n v="0"/>
    <n v="0"/>
    <n v="0"/>
    <n v="0"/>
    <n v="0"/>
    <n v="0"/>
    <n v="0"/>
    <n v="38381"/>
    <n v="3108857"/>
    <n v="6397"/>
    <n v="518143"/>
    <n v="80.997811474128497"/>
    <n v="8316"/>
    <n v="673577.80021885259"/>
    <n v="8316"/>
    <n v="673577.80021885259"/>
    <n v="8316"/>
    <n v="673577.80021885259"/>
  </r>
  <r>
    <x v="5"/>
    <s v="FABRICA DE ALIMENTOS PROCESADOS VENTOLINI S.A."/>
    <s v="SEEDPACK"/>
    <x v="96"/>
    <x v="96"/>
    <n v="0"/>
    <n v="0"/>
    <n v="0"/>
    <n v="0"/>
    <n v="0"/>
    <n v="0"/>
    <n v="0"/>
    <n v="0"/>
    <n v="20"/>
    <n v="36460"/>
    <n v="0"/>
    <n v="0"/>
    <n v="3"/>
    <n v="6077"/>
    <n v="2025.6666666666667"/>
    <n v="4"/>
    <n v="8102.666666666667"/>
    <n v="4"/>
    <n v="8102.666666666667"/>
    <n v="4"/>
    <n v="8102.666666666667"/>
  </r>
  <r>
    <x v="5"/>
    <s v="FABRICA DE ALIMENTOS PROCESADOS VENTOLINI S.A."/>
    <s v="SEEDPACK"/>
    <x v="97"/>
    <x v="97"/>
    <n v="0"/>
    <n v="0"/>
    <n v="0"/>
    <n v="0"/>
    <n v="0"/>
    <n v="0"/>
    <n v="0"/>
    <n v="0"/>
    <n v="400"/>
    <n v="1020800"/>
    <n v="0"/>
    <n v="0"/>
    <n v="67"/>
    <n v="170133"/>
    <n v="2539.2985074626868"/>
    <n v="87"/>
    <n v="220918.97014925376"/>
    <n v="87"/>
    <n v="220918.97014925376"/>
    <n v="87"/>
    <n v="220918.97014925376"/>
  </r>
  <r>
    <x v="5"/>
    <s v="FELIPE AUGUSTO ARROYAVE ZAPATA"/>
    <s v="Salseros"/>
    <x v="108"/>
    <x v="108"/>
    <n v="0"/>
    <n v="0"/>
    <n v="10000"/>
    <n v="410000"/>
    <n v="0"/>
    <n v="0"/>
    <n v="0"/>
    <n v="0"/>
    <n v="10000"/>
    <n v="410000"/>
    <n v="0"/>
    <n v="0"/>
    <n v="3333"/>
    <n v="136667"/>
    <n v="41.004200420042004"/>
    <n v="4333"/>
    <n v="177671.20042004201"/>
    <n v="4333"/>
    <n v="177671.20042004201"/>
    <n v="4333"/>
    <n v="177671.20042004201"/>
  </r>
  <r>
    <x v="5"/>
    <s v="FILTERLESS S.A.S"/>
    <s v="SEEDPACK"/>
    <x v="156"/>
    <x v="156"/>
    <n v="0"/>
    <n v="0"/>
    <n v="150"/>
    <n v="153150"/>
    <n v="150"/>
    <n v="153150"/>
    <n v="150"/>
    <n v="153150"/>
    <n v="0"/>
    <n v="0"/>
    <n v="0"/>
    <n v="0"/>
    <n v="75"/>
    <n v="76575"/>
    <n v="1021"/>
    <n v="98"/>
    <n v="100058"/>
    <n v="98"/>
    <n v="100058"/>
    <n v="98"/>
    <n v="100058"/>
  </r>
  <r>
    <x v="5"/>
    <s v="FILTERLESS S.A.S"/>
    <s v="SEEDPACK"/>
    <x v="95"/>
    <x v="95"/>
    <n v="0"/>
    <n v="0"/>
    <n v="100"/>
    <n v="139600"/>
    <n v="0"/>
    <n v="0"/>
    <n v="100"/>
    <n v="139600"/>
    <n v="0"/>
    <n v="0"/>
    <n v="0"/>
    <n v="0"/>
    <n v="33"/>
    <n v="46533"/>
    <n v="1410.090909090909"/>
    <n v="43"/>
    <n v="60633.909090909088"/>
    <n v="43"/>
    <n v="60633.909090909088"/>
    <n v="43"/>
    <n v="60633.909090909088"/>
  </r>
  <r>
    <x v="5"/>
    <s v="FILTERLESS S.A.S"/>
    <s v="SEEDPACK"/>
    <x v="96"/>
    <x v="96"/>
    <n v="0"/>
    <n v="0"/>
    <n v="100"/>
    <n v="175300"/>
    <n v="100"/>
    <n v="175300"/>
    <n v="200"/>
    <n v="350600"/>
    <n v="200"/>
    <n v="350600"/>
    <n v="0"/>
    <n v="0"/>
    <n v="100"/>
    <n v="175300"/>
    <n v="1753"/>
    <n v="130"/>
    <n v="227890"/>
    <n v="130"/>
    <n v="227890"/>
    <n v="130"/>
    <n v="227890"/>
  </r>
  <r>
    <x v="5"/>
    <s v="FRANCISCO JOSE DIAZ GRANADOS CAVIEDES"/>
    <s v="Salseros"/>
    <x v="108"/>
    <x v="108"/>
    <n v="0"/>
    <n v="0"/>
    <n v="0"/>
    <n v="0"/>
    <n v="0"/>
    <n v="0"/>
    <n v="5000"/>
    <n v="192500"/>
    <n v="0"/>
    <n v="0"/>
    <n v="0"/>
    <n v="0"/>
    <n v="833"/>
    <n v="32083"/>
    <n v="38.515006002400959"/>
    <n v="1083"/>
    <n v="41711.751500600236"/>
    <n v="1083"/>
    <n v="41711.751500600236"/>
    <n v="1083"/>
    <n v="41711.751500600236"/>
  </r>
  <r>
    <x v="5"/>
    <s v="FRESH FRUITS COLOMBIA S.A.S"/>
    <s v="SEEDPACK"/>
    <x v="114"/>
    <x v="114"/>
    <n v="1800"/>
    <n v="918000"/>
    <n v="0"/>
    <n v="0"/>
    <n v="0"/>
    <n v="0"/>
    <n v="0"/>
    <n v="0"/>
    <n v="2400"/>
    <n v="1224000"/>
    <n v="0"/>
    <n v="0"/>
    <n v="700"/>
    <n v="357000"/>
    <n v="510"/>
    <n v="910"/>
    <n v="464100"/>
    <n v="910"/>
    <n v="464100"/>
    <n v="910"/>
    <n v="464100"/>
  </r>
  <r>
    <x v="5"/>
    <s v="GABRIELA  SANDINO RAMIREZ"/>
    <s v="BOLSAS"/>
    <x v="139"/>
    <x v="139"/>
    <n v="0"/>
    <n v="0"/>
    <n v="0"/>
    <n v="0"/>
    <n v="0"/>
    <n v="0"/>
    <n v="250"/>
    <n v="216250"/>
    <n v="0"/>
    <n v="0"/>
    <n v="0"/>
    <n v="0"/>
    <n v="42"/>
    <n v="36042"/>
    <n v="858.14285714285711"/>
    <n v="54"/>
    <n v="46339.714285714283"/>
    <n v="54"/>
    <n v="46339.714285714283"/>
    <n v="54"/>
    <n v="46339.714285714283"/>
  </r>
  <r>
    <x v="5"/>
    <s v="GABRIELA  SANDINO RAMIREZ"/>
    <s v="BOLSAS"/>
    <x v="140"/>
    <x v="140"/>
    <n v="0"/>
    <n v="0"/>
    <n v="0"/>
    <n v="0"/>
    <n v="0"/>
    <n v="0"/>
    <n v="500"/>
    <n v="392500"/>
    <n v="0"/>
    <n v="0"/>
    <n v="0"/>
    <n v="0"/>
    <n v="83"/>
    <n v="65417"/>
    <n v="788.15662650602405"/>
    <n v="108"/>
    <n v="85120.915662650601"/>
    <n v="108"/>
    <n v="85120.915662650601"/>
    <n v="108"/>
    <n v="85120.915662650601"/>
  </r>
  <r>
    <x v="5"/>
    <s v="GABRIELA  SANDINO RAMIREZ"/>
    <s v="SEEDPACK"/>
    <x v="118"/>
    <x v="118"/>
    <n v="0"/>
    <n v="0"/>
    <n v="0"/>
    <n v="0"/>
    <n v="0"/>
    <n v="0"/>
    <n v="150"/>
    <n v="73200"/>
    <n v="0"/>
    <n v="0"/>
    <n v="0"/>
    <n v="0"/>
    <n v="25"/>
    <n v="12200"/>
    <n v="488"/>
    <n v="32"/>
    <n v="15616"/>
    <n v="32"/>
    <n v="15616"/>
    <n v="32"/>
    <n v="15616"/>
  </r>
  <r>
    <x v="5"/>
    <s v="GLORIA ALEXANDRA MORENO HERNANDEZ"/>
    <s v="SEEDPACK"/>
    <x v="122"/>
    <x v="122"/>
    <n v="0"/>
    <n v="0"/>
    <n v="100"/>
    <n v="73700"/>
    <n v="0"/>
    <n v="0"/>
    <n v="0"/>
    <n v="0"/>
    <n v="0"/>
    <n v="0"/>
    <n v="0"/>
    <n v="0"/>
    <n v="17"/>
    <n v="12283"/>
    <n v="722.52941176470586"/>
    <n v="22"/>
    <n v="15895.647058823528"/>
    <n v="22"/>
    <n v="15895.647058823528"/>
    <n v="22"/>
    <n v="15895.647058823528"/>
  </r>
  <r>
    <x v="5"/>
    <s v="GLORIA ALEXANDRA MORENO HERNANDEZ"/>
    <s v="SEEDPACK"/>
    <x v="98"/>
    <x v="98"/>
    <n v="0"/>
    <n v="0"/>
    <n v="100"/>
    <n v="100700"/>
    <n v="0"/>
    <n v="0"/>
    <n v="0"/>
    <n v="0"/>
    <n v="0"/>
    <n v="0"/>
    <n v="0"/>
    <n v="0"/>
    <n v="17"/>
    <n v="16783"/>
    <n v="987.23529411764707"/>
    <n v="22"/>
    <n v="21719.176470588234"/>
    <n v="22"/>
    <n v="21719.176470588234"/>
    <n v="22"/>
    <n v="21719.176470588234"/>
  </r>
  <r>
    <x v="5"/>
    <s v="GOOD FEAST S.A.S."/>
    <s v="SEEDPACK"/>
    <x v="118"/>
    <x v="118"/>
    <n v="0"/>
    <n v="0"/>
    <n v="0"/>
    <n v="0"/>
    <n v="0"/>
    <n v="0"/>
    <n v="300"/>
    <n v="146400"/>
    <n v="0"/>
    <n v="0"/>
    <n v="0"/>
    <n v="0"/>
    <n v="50"/>
    <n v="24400"/>
    <n v="488"/>
    <n v="65"/>
    <n v="31720"/>
    <n v="65"/>
    <n v="31720"/>
    <n v="65"/>
    <n v="31720"/>
  </r>
  <r>
    <x v="5"/>
    <s v="GROUP VINCULOS IMPORT &amp; EXPORT &amp; MORE SAS"/>
    <s v="Salseros"/>
    <x v="132"/>
    <x v="132"/>
    <n v="0"/>
    <n v="0"/>
    <n v="0"/>
    <n v="0"/>
    <n v="50000"/>
    <n v="2050000"/>
    <n v="50000"/>
    <n v="2050000"/>
    <n v="0"/>
    <n v="0"/>
    <n v="73810"/>
    <n v="3026190"/>
    <n v="28968"/>
    <n v="1187698"/>
    <n v="41.000345208505941"/>
    <n v="37659"/>
    <n v="1544032.0002071252"/>
    <n v="37659"/>
    <n v="1544032.0002071252"/>
    <n v="37659"/>
    <n v="1544032.0002071252"/>
  </r>
  <r>
    <x v="5"/>
    <s v="GRUPO SALAMA PIZZERIA S.A.S"/>
    <s v="BOLSAS"/>
    <x v="151"/>
    <x v="151"/>
    <n v="0"/>
    <n v="0"/>
    <n v="0"/>
    <n v="0"/>
    <n v="0"/>
    <n v="0"/>
    <n v="0"/>
    <n v="0"/>
    <n v="500"/>
    <n v="298500"/>
    <n v="0"/>
    <n v="0"/>
    <n v="83"/>
    <n v="49750"/>
    <n v="599.39759036144574"/>
    <n v="108"/>
    <n v="64734.93975903614"/>
    <n v="108"/>
    <n v="64734.93975903614"/>
    <n v="108"/>
    <n v="64734.93975903614"/>
  </r>
  <r>
    <x v="5"/>
    <s v="GUSTAVOCADO SAS"/>
    <s v="SEEDPACK"/>
    <x v="95"/>
    <x v="95"/>
    <n v="2000"/>
    <n v="2448000"/>
    <n v="0"/>
    <n v="0"/>
    <n v="0"/>
    <n v="0"/>
    <n v="0"/>
    <n v="0"/>
    <n v="1000"/>
    <n v="1224000"/>
    <n v="0"/>
    <n v="0"/>
    <n v="500"/>
    <n v="612000"/>
    <n v="1224"/>
    <n v="650"/>
    <n v="795600"/>
    <n v="650"/>
    <n v="795600"/>
    <n v="650"/>
    <n v="795600"/>
  </r>
  <r>
    <x v="5"/>
    <s v="GUSTAVOCADO SAS"/>
    <s v="SEEDPACK"/>
    <x v="96"/>
    <x v="96"/>
    <n v="1100"/>
    <n v="1690700"/>
    <n v="0"/>
    <n v="0"/>
    <n v="0"/>
    <n v="0"/>
    <n v="500"/>
    <n v="768500"/>
    <n v="500"/>
    <n v="768500"/>
    <n v="0"/>
    <n v="0"/>
    <n v="350"/>
    <n v="537950"/>
    <n v="1537"/>
    <n v="455"/>
    <n v="699335"/>
    <n v="455"/>
    <n v="699335"/>
    <n v="455"/>
    <n v="699335"/>
  </r>
  <r>
    <x v="5"/>
    <s v="GUSTAVOCADO SAS"/>
    <s v="SEEDPACK"/>
    <x v="118"/>
    <x v="118"/>
    <n v="300"/>
    <n v="123300"/>
    <n v="2400"/>
    <n v="986400"/>
    <n v="0"/>
    <n v="0"/>
    <n v="1500"/>
    <n v="616500"/>
    <n v="1500"/>
    <n v="616500"/>
    <n v="0"/>
    <n v="0"/>
    <n v="950"/>
    <n v="390450"/>
    <n v="411"/>
    <n v="1235"/>
    <n v="507585"/>
    <n v="1235"/>
    <n v="507585"/>
    <n v="1235"/>
    <n v="507585"/>
  </r>
  <r>
    <x v="5"/>
    <s v="HECTOR ALFREDO ZAMBRANO OJEDA"/>
    <s v="SEEDPACK"/>
    <x v="94"/>
    <x v="94"/>
    <n v="0"/>
    <n v="0"/>
    <n v="0"/>
    <n v="0"/>
    <n v="0"/>
    <n v="0"/>
    <n v="0"/>
    <n v="0"/>
    <n v="20000"/>
    <n v="1712000"/>
    <n v="0"/>
    <n v="0"/>
    <n v="3333"/>
    <n v="285333"/>
    <n v="85.608460846084611"/>
    <n v="4333"/>
    <n v="370941.46084608464"/>
    <n v="4333"/>
    <n v="370941.46084608464"/>
    <n v="4333"/>
    <n v="370941.46084608464"/>
  </r>
  <r>
    <x v="5"/>
    <s v="HECTOR ALFREDO ZAMBRANO OJEDA"/>
    <s v="SEEDPACK"/>
    <x v="118"/>
    <x v="118"/>
    <n v="0"/>
    <n v="0"/>
    <n v="0"/>
    <n v="0"/>
    <n v="0"/>
    <n v="0"/>
    <n v="0"/>
    <n v="0"/>
    <n v="600"/>
    <n v="281400"/>
    <n v="0"/>
    <n v="0"/>
    <n v="100"/>
    <n v="46900"/>
    <n v="469"/>
    <n v="130"/>
    <n v="60970"/>
    <n v="130"/>
    <n v="60970"/>
    <n v="130"/>
    <n v="60970"/>
  </r>
  <r>
    <x v="5"/>
    <s v="HECTOR ALFREDO ZAMBRANO OJEDA"/>
    <s v="SEEDPACK"/>
    <x v="119"/>
    <x v="119"/>
    <n v="0"/>
    <n v="0"/>
    <n v="0"/>
    <n v="0"/>
    <n v="0"/>
    <n v="0"/>
    <n v="0"/>
    <n v="0"/>
    <n v="180"/>
    <n v="114660"/>
    <n v="0"/>
    <n v="0"/>
    <n v="30"/>
    <n v="19110"/>
    <n v="637"/>
    <n v="39"/>
    <n v="24843"/>
    <n v="39"/>
    <n v="24843"/>
    <n v="39"/>
    <n v="24843"/>
  </r>
  <r>
    <x v="5"/>
    <s v="HEIBER  ARISTIZABAL LOPEZ"/>
    <s v="FLETE VENTAS"/>
    <x v="147"/>
    <x v="147"/>
    <n v="1"/>
    <n v="13000"/>
    <n v="0"/>
    <n v="0"/>
    <n v="1"/>
    <n v="14000"/>
    <n v="0"/>
    <n v="0"/>
    <n v="1"/>
    <n v="14000"/>
    <n v="1"/>
    <n v="20667"/>
    <n v="1"/>
    <n v="10278"/>
    <n v="10278"/>
    <n v="1"/>
    <n v="10278"/>
    <n v="1"/>
    <n v="10278"/>
    <n v="1"/>
    <n v="10278"/>
  </r>
  <r>
    <x v="5"/>
    <s v="HEIBER  ARISTIZABAL LOPEZ"/>
    <s v="SEEDPACK"/>
    <x v="157"/>
    <x v="157"/>
    <n v="300"/>
    <n v="150300"/>
    <n v="0"/>
    <n v="0"/>
    <n v="300"/>
    <n v="150300"/>
    <n v="0"/>
    <n v="0"/>
    <n v="100"/>
    <n v="50100"/>
    <n v="0"/>
    <n v="0"/>
    <n v="117"/>
    <n v="58450"/>
    <n v="499.5726495726496"/>
    <n v="152"/>
    <n v="75935.042735042734"/>
    <n v="152"/>
    <n v="75935.042735042734"/>
    <n v="152"/>
    <n v="75935.042735042734"/>
  </r>
  <r>
    <x v="5"/>
    <s v="HEIBER  ARISTIZABAL LOPEZ"/>
    <s v="SEEDPACK"/>
    <x v="158"/>
    <x v="158"/>
    <n v="300"/>
    <n v="246600"/>
    <n v="0"/>
    <n v="0"/>
    <n v="300"/>
    <n v="246600"/>
    <n v="0"/>
    <n v="0"/>
    <n v="300"/>
    <n v="246600"/>
    <n v="590"/>
    <n v="485371"/>
    <n v="248"/>
    <n v="204195"/>
    <n v="823.36693548387098"/>
    <n v="323"/>
    <n v="265947.5201612903"/>
    <n v="323"/>
    <n v="265947.5201612903"/>
    <n v="323"/>
    <n v="265947.5201612903"/>
  </r>
  <r>
    <x v="5"/>
    <s v="INVERSIONES GREEK COLOMBIA SAS"/>
    <s v="Salseros"/>
    <x v="108"/>
    <x v="108"/>
    <n v="0"/>
    <n v="0"/>
    <n v="0"/>
    <n v="0"/>
    <n v="0"/>
    <n v="0"/>
    <n v="0"/>
    <n v="0"/>
    <n v="5250"/>
    <n v="202125"/>
    <n v="0"/>
    <n v="0"/>
    <n v="875"/>
    <n v="33688"/>
    <n v="38.500571428571426"/>
    <n v="1138"/>
    <n v="43813.650285714284"/>
    <n v="1138"/>
    <n v="43813.650285714284"/>
    <n v="1138"/>
    <n v="43813.650285714284"/>
  </r>
  <r>
    <x v="5"/>
    <s v="INVERSIONES GREEK COLOMBIA SAS"/>
    <s v="Salseros"/>
    <x v="110"/>
    <x v="110"/>
    <n v="0"/>
    <n v="0"/>
    <n v="2000"/>
    <n v="80000"/>
    <n v="0"/>
    <n v="0"/>
    <n v="0"/>
    <n v="0"/>
    <n v="0"/>
    <n v="0"/>
    <n v="0"/>
    <n v="0"/>
    <n v="333"/>
    <n v="13333"/>
    <n v="40.039039039039039"/>
    <n v="433"/>
    <n v="17336.903903903905"/>
    <n v="433"/>
    <n v="17336.903903903905"/>
    <n v="433"/>
    <n v="17336.903903903905"/>
  </r>
  <r>
    <x v="5"/>
    <s v="ISABELA  ZULUAGA ESCOBAR"/>
    <s v="SEEDPACK"/>
    <x v="159"/>
    <x v="159"/>
    <n v="0"/>
    <n v="0"/>
    <n v="0"/>
    <n v="0"/>
    <n v="0"/>
    <n v="0"/>
    <n v="50"/>
    <n v="30900"/>
    <n v="0"/>
    <n v="0"/>
    <n v="0"/>
    <n v="0"/>
    <n v="8"/>
    <n v="5150"/>
    <n v="643.75"/>
    <n v="11"/>
    <n v="7081.25"/>
    <n v="11"/>
    <n v="7081.25"/>
    <n v="11"/>
    <n v="7081.25"/>
  </r>
  <r>
    <x v="5"/>
    <s v="ISABELA  ZULUAGA ESCOBAR"/>
    <s v="SEEDPACK"/>
    <x v="99"/>
    <x v="99"/>
    <n v="0"/>
    <n v="0"/>
    <n v="0"/>
    <n v="0"/>
    <n v="0"/>
    <n v="0"/>
    <n v="10"/>
    <n v="21020"/>
    <n v="0"/>
    <n v="0"/>
    <n v="0"/>
    <n v="0"/>
    <n v="2"/>
    <n v="3503"/>
    <n v="1751.5"/>
    <n v="2"/>
    <n v="3503"/>
    <n v="2"/>
    <n v="3503"/>
    <n v="2"/>
    <n v="3503"/>
  </r>
  <r>
    <x v="5"/>
    <s v="ISABELA  ZULUAGA ESCOBAR"/>
    <s v="SEEDPACK"/>
    <x v="131"/>
    <x v="131"/>
    <n v="0"/>
    <n v="0"/>
    <n v="0"/>
    <n v="0"/>
    <n v="0"/>
    <n v="0"/>
    <n v="10"/>
    <n v="17720"/>
    <n v="0"/>
    <n v="0"/>
    <n v="0"/>
    <n v="0"/>
    <n v="2"/>
    <n v="2953"/>
    <n v="1476.5"/>
    <n v="2"/>
    <n v="2953"/>
    <n v="2"/>
    <n v="2953"/>
    <n v="2"/>
    <n v="2953"/>
  </r>
  <r>
    <x v="5"/>
    <s v="IVAN GUILLERMO MONTERO GONZALEZ"/>
    <s v="SEEDPACK"/>
    <x v="160"/>
    <x v="160"/>
    <n v="600"/>
    <n v="129000"/>
    <n v="1000"/>
    <n v="215000"/>
    <n v="1000"/>
    <n v="215000"/>
    <n v="0"/>
    <n v="0"/>
    <n v="1000"/>
    <n v="215000"/>
    <n v="0"/>
    <n v="0"/>
    <n v="600"/>
    <n v="129000"/>
    <n v="215"/>
    <n v="780"/>
    <n v="167700"/>
    <n v="780"/>
    <n v="167700"/>
    <n v="780"/>
    <n v="167700"/>
  </r>
  <r>
    <x v="5"/>
    <s v="IVAN MATEO RODRIGUEZ FAJARDO"/>
    <s v="Salseros"/>
    <x v="108"/>
    <x v="108"/>
    <n v="0"/>
    <n v="0"/>
    <n v="0"/>
    <n v="0"/>
    <n v="0"/>
    <n v="0"/>
    <n v="7500"/>
    <n v="288750"/>
    <n v="0"/>
    <n v="0"/>
    <n v="0"/>
    <n v="0"/>
    <n v="1250"/>
    <n v="48125"/>
    <n v="38.5"/>
    <n v="1625"/>
    <n v="62562.5"/>
    <n v="1625"/>
    <n v="62562.5"/>
    <n v="1625"/>
    <n v="62562.5"/>
  </r>
  <r>
    <x v="5"/>
    <s v="JAIME ANDRES LOPEZ RAMIREZ"/>
    <s v="Salseros"/>
    <x v="132"/>
    <x v="132"/>
    <n v="0"/>
    <n v="0"/>
    <n v="0"/>
    <n v="0"/>
    <n v="5000"/>
    <n v="205000"/>
    <n v="0"/>
    <n v="0"/>
    <n v="0"/>
    <n v="0"/>
    <n v="0"/>
    <n v="0"/>
    <n v="833"/>
    <n v="34167"/>
    <n v="41.016806722689076"/>
    <n v="1083"/>
    <n v="44421.201680672268"/>
    <n v="1083"/>
    <n v="44421.201680672268"/>
    <n v="1083"/>
    <n v="44421.201680672268"/>
  </r>
  <r>
    <x v="5"/>
    <s v="JAIRO ALBERTO RENDON HERNANDEZ"/>
    <s v="SEEDPACK"/>
    <x v="119"/>
    <x v="119"/>
    <n v="0"/>
    <n v="0"/>
    <n v="0"/>
    <n v="0"/>
    <n v="0"/>
    <n v="0"/>
    <n v="360"/>
    <n v="277200"/>
    <n v="0"/>
    <n v="0"/>
    <n v="0"/>
    <n v="0"/>
    <n v="60"/>
    <n v="46200"/>
    <n v="770"/>
    <n v="78"/>
    <n v="60060"/>
    <n v="78"/>
    <n v="60060"/>
    <n v="78"/>
    <n v="60060"/>
  </r>
  <r>
    <x v="5"/>
    <s v="JEAN CARLOS TAPIAS"/>
    <s v="SEEDPACK"/>
    <x v="118"/>
    <x v="118"/>
    <n v="0"/>
    <n v="0"/>
    <n v="0"/>
    <n v="0"/>
    <n v="0"/>
    <n v="0"/>
    <n v="300"/>
    <n v="146400"/>
    <n v="0"/>
    <n v="0"/>
    <n v="0"/>
    <n v="0"/>
    <n v="50"/>
    <n v="24400"/>
    <n v="488"/>
    <n v="65"/>
    <n v="31720"/>
    <n v="65"/>
    <n v="31720"/>
    <n v="65"/>
    <n v="31720"/>
  </r>
  <r>
    <x v="5"/>
    <s v="JESSICA  GONZALEZ PEREZ"/>
    <s v="BOLSAS"/>
    <x v="161"/>
    <x v="161"/>
    <n v="0"/>
    <n v="0"/>
    <n v="0"/>
    <n v="0"/>
    <n v="0"/>
    <n v="0"/>
    <n v="0"/>
    <n v="0"/>
    <n v="50"/>
    <n v="46200"/>
    <n v="0"/>
    <n v="0"/>
    <n v="8"/>
    <n v="7700"/>
    <n v="962.5"/>
    <n v="11"/>
    <n v="10587.5"/>
    <n v="11"/>
    <n v="10587.5"/>
    <n v="11"/>
    <n v="10587.5"/>
  </r>
  <r>
    <x v="5"/>
    <s v="JESSICA  GONZALEZ PEREZ"/>
    <s v="BOLSAS"/>
    <x v="140"/>
    <x v="140"/>
    <n v="0"/>
    <n v="0"/>
    <n v="0"/>
    <n v="0"/>
    <n v="0"/>
    <n v="0"/>
    <n v="0"/>
    <n v="0"/>
    <n v="50"/>
    <n v="39250"/>
    <n v="0"/>
    <n v="0"/>
    <n v="8"/>
    <n v="6542"/>
    <n v="817.75"/>
    <n v="11"/>
    <n v="8995.25"/>
    <n v="11"/>
    <n v="8995.25"/>
    <n v="11"/>
    <n v="8995.25"/>
  </r>
  <r>
    <x v="5"/>
    <s v="JHORDY MATEO DIAZ GARZON"/>
    <s v="BOLSAS"/>
    <x v="138"/>
    <x v="138"/>
    <n v="0"/>
    <n v="0"/>
    <n v="0"/>
    <n v="0"/>
    <n v="0"/>
    <n v="0"/>
    <n v="50"/>
    <n v="26200"/>
    <n v="0"/>
    <n v="0"/>
    <n v="0"/>
    <n v="0"/>
    <n v="8"/>
    <n v="4367"/>
    <n v="545.875"/>
    <n v="11"/>
    <n v="6004.625"/>
    <n v="11"/>
    <n v="6004.625"/>
    <n v="11"/>
    <n v="6004.625"/>
  </r>
  <r>
    <x v="5"/>
    <s v="JHORDY MATEO DIAZ GARZON"/>
    <s v="BOLSAS"/>
    <x v="139"/>
    <x v="139"/>
    <n v="0"/>
    <n v="0"/>
    <n v="0"/>
    <n v="0"/>
    <n v="0"/>
    <n v="0"/>
    <n v="100"/>
    <n v="86500"/>
    <n v="0"/>
    <n v="0"/>
    <n v="0"/>
    <n v="0"/>
    <n v="17"/>
    <n v="14417"/>
    <n v="848.05882352941171"/>
    <n v="22"/>
    <n v="18657.294117647056"/>
    <n v="22"/>
    <n v="18657.294117647056"/>
    <n v="22"/>
    <n v="18657.294117647056"/>
  </r>
  <r>
    <x v="5"/>
    <s v="JUAN CAMILO MANRIQUE MEDINA"/>
    <s v="SEEDPACK"/>
    <x v="123"/>
    <x v="123"/>
    <n v="0"/>
    <n v="0"/>
    <n v="100"/>
    <n v="74500"/>
    <n v="0"/>
    <n v="0"/>
    <n v="60"/>
    <n v="44700"/>
    <n v="0"/>
    <n v="0"/>
    <n v="0"/>
    <n v="0"/>
    <n v="27"/>
    <n v="19867"/>
    <n v="735.81481481481478"/>
    <n v="35"/>
    <n v="25753.518518518518"/>
    <n v="35"/>
    <n v="25753.518518518518"/>
    <n v="35"/>
    <n v="25753.518518518518"/>
  </r>
  <r>
    <x v="5"/>
    <s v="JUAN CAMILO MANRIQUE MEDINA"/>
    <s v="Salseros"/>
    <x v="108"/>
    <x v="108"/>
    <n v="0"/>
    <n v="0"/>
    <n v="0"/>
    <n v="0"/>
    <n v="0"/>
    <n v="0"/>
    <n v="1000"/>
    <n v="38500"/>
    <n v="0"/>
    <n v="0"/>
    <n v="0"/>
    <n v="0"/>
    <n v="167"/>
    <n v="6417"/>
    <n v="38.425149700598801"/>
    <n v="217"/>
    <n v="8338.2574850299407"/>
    <n v="217"/>
    <n v="8338.2574850299407"/>
    <n v="217"/>
    <n v="8338.2574850299407"/>
  </r>
  <r>
    <x v="5"/>
    <s v="JUAN CAMILO OCAMPO"/>
    <s v="SEEDPACK"/>
    <x v="135"/>
    <x v="135"/>
    <n v="2880"/>
    <n v="1270080"/>
    <n v="1440"/>
    <n v="635040"/>
    <n v="0"/>
    <n v="0"/>
    <n v="0"/>
    <n v="0"/>
    <n v="0"/>
    <n v="0"/>
    <n v="0"/>
    <n v="0"/>
    <n v="720"/>
    <n v="317520"/>
    <n v="441"/>
    <n v="936"/>
    <n v="412776"/>
    <n v="936"/>
    <n v="412776"/>
    <n v="936"/>
    <n v="412776"/>
  </r>
  <r>
    <x v="5"/>
    <s v="JUAN CAMILO OCAMPO"/>
    <s v="SEEDPACK"/>
    <x v="136"/>
    <x v="136"/>
    <n v="1300"/>
    <n v="573300"/>
    <n v="1300"/>
    <n v="573300"/>
    <n v="1300"/>
    <n v="573300"/>
    <n v="0"/>
    <n v="0"/>
    <n v="0"/>
    <n v="0"/>
    <n v="0"/>
    <n v="0"/>
    <n v="650"/>
    <n v="286650"/>
    <n v="441"/>
    <n v="845"/>
    <n v="372645"/>
    <n v="845"/>
    <n v="372645"/>
    <n v="845"/>
    <n v="372645"/>
  </r>
  <r>
    <x v="5"/>
    <s v="JUAN DAVID LOPEZ JARAMILLO"/>
    <s v="PLATOS"/>
    <x v="115"/>
    <x v="115"/>
    <n v="0"/>
    <n v="0"/>
    <n v="0"/>
    <n v="0"/>
    <n v="0"/>
    <n v="0"/>
    <n v="0"/>
    <n v="0"/>
    <n v="0"/>
    <n v="0"/>
    <n v="354"/>
    <n v="142777"/>
    <n v="59"/>
    <n v="23796"/>
    <n v="403.32203389830511"/>
    <n v="77"/>
    <n v="31055.796610169495"/>
    <n v="77"/>
    <n v="31055.796610169495"/>
    <n v="77"/>
    <n v="31055.796610169495"/>
  </r>
  <r>
    <x v="5"/>
    <s v="JUAN DAVID ORDOÑEZ DUARTE"/>
    <s v="BOLSAS"/>
    <x v="139"/>
    <x v="139"/>
    <n v="0"/>
    <n v="0"/>
    <n v="0"/>
    <n v="0"/>
    <n v="0"/>
    <n v="0"/>
    <n v="0"/>
    <n v="0"/>
    <n v="50"/>
    <n v="43250"/>
    <n v="0"/>
    <n v="0"/>
    <n v="8"/>
    <n v="7208"/>
    <n v="901"/>
    <n v="11"/>
    <n v="9911"/>
    <n v="11"/>
    <n v="9911"/>
    <n v="11"/>
    <n v="9911"/>
  </r>
  <r>
    <x v="5"/>
    <s v="JUAN DAVID ORDOÑEZ DUARTE"/>
    <s v="BOLSAS"/>
    <x v="140"/>
    <x v="140"/>
    <n v="0"/>
    <n v="0"/>
    <n v="0"/>
    <n v="0"/>
    <n v="0"/>
    <n v="0"/>
    <n v="0"/>
    <n v="0"/>
    <n v="50"/>
    <n v="39250"/>
    <n v="0"/>
    <n v="0"/>
    <n v="8"/>
    <n v="6542"/>
    <n v="817.75"/>
    <n v="11"/>
    <n v="8995.25"/>
    <n v="11"/>
    <n v="8995.25"/>
    <n v="11"/>
    <n v="8995.25"/>
  </r>
  <r>
    <x v="5"/>
    <s v="JUAN FERNANDO PALACIO ACEVEDO"/>
    <s v="BOLSAS"/>
    <x v="151"/>
    <x v="151"/>
    <n v="0"/>
    <n v="0"/>
    <n v="0"/>
    <n v="0"/>
    <n v="0"/>
    <n v="0"/>
    <n v="0"/>
    <n v="0"/>
    <n v="50"/>
    <n v="29850"/>
    <n v="0"/>
    <n v="0"/>
    <n v="8"/>
    <n v="4975"/>
    <n v="621.875"/>
    <n v="11"/>
    <n v="6840.625"/>
    <n v="11"/>
    <n v="6840.625"/>
    <n v="11"/>
    <n v="6840.625"/>
  </r>
  <r>
    <x v="5"/>
    <s v="JUAN FERNANDO PALACIO ACEVEDO"/>
    <s v="BOLSAS"/>
    <x v="138"/>
    <x v="138"/>
    <n v="0"/>
    <n v="0"/>
    <n v="0"/>
    <n v="0"/>
    <n v="0"/>
    <n v="0"/>
    <n v="50"/>
    <n v="26200"/>
    <n v="50"/>
    <n v="26200"/>
    <n v="0"/>
    <n v="0"/>
    <n v="17"/>
    <n v="8733"/>
    <n v="513.70588235294122"/>
    <n v="22"/>
    <n v="11301.529411764706"/>
    <n v="22"/>
    <n v="11301.529411764706"/>
    <n v="22"/>
    <n v="11301.529411764706"/>
  </r>
  <r>
    <x v="5"/>
    <s v="JUAN JOSÉ TABARES ESCOBAR"/>
    <s v="SEEDPACK"/>
    <x v="148"/>
    <x v="148"/>
    <n v="50"/>
    <n v="141400"/>
    <n v="0"/>
    <n v="0"/>
    <n v="50"/>
    <n v="141400"/>
    <n v="50"/>
    <n v="141400"/>
    <n v="0"/>
    <n v="0"/>
    <n v="0"/>
    <n v="0"/>
    <n v="25"/>
    <n v="70700"/>
    <n v="2828"/>
    <n v="32"/>
    <n v="90496"/>
    <n v="32"/>
    <n v="90496"/>
    <n v="32"/>
    <n v="90496"/>
  </r>
  <r>
    <x v="5"/>
    <s v="JUAN JOSÉ TABARES ESCOBAR"/>
    <s v="Salseros"/>
    <x v="110"/>
    <x v="110"/>
    <n v="500"/>
    <n v="19500"/>
    <n v="0"/>
    <n v="0"/>
    <n v="250"/>
    <n v="9750"/>
    <n v="500"/>
    <n v="19500"/>
    <n v="0"/>
    <n v="0"/>
    <n v="0"/>
    <n v="0"/>
    <n v="208"/>
    <n v="8125"/>
    <n v="39.0625"/>
    <n v="271"/>
    <n v="10585.9375"/>
    <n v="271"/>
    <n v="10585.9375"/>
    <n v="271"/>
    <n v="10585.9375"/>
  </r>
  <r>
    <x v="5"/>
    <s v="JUAN JOSÉ TABARES ESCOBAR"/>
    <s v="Salseros"/>
    <x v="132"/>
    <x v="132"/>
    <n v="500"/>
    <n v="21000"/>
    <n v="500"/>
    <n v="21000"/>
    <n v="500"/>
    <n v="21000"/>
    <n v="1000"/>
    <n v="42000"/>
    <n v="0"/>
    <n v="0"/>
    <n v="0"/>
    <n v="0"/>
    <n v="417"/>
    <n v="17500"/>
    <n v="41.966426858513188"/>
    <n v="542"/>
    <n v="22745.803357314147"/>
    <n v="542"/>
    <n v="22745.803357314147"/>
    <n v="542"/>
    <n v="22745.803357314147"/>
  </r>
  <r>
    <x v="5"/>
    <s v="JUAN PABLO LEMA VILLEGAS"/>
    <s v="SEEDPACK"/>
    <x v="118"/>
    <x v="118"/>
    <n v="0"/>
    <n v="0"/>
    <n v="1200"/>
    <n v="585600"/>
    <n v="0"/>
    <n v="0"/>
    <n v="0"/>
    <n v="0"/>
    <n v="0"/>
    <n v="0"/>
    <n v="1771"/>
    <n v="864457"/>
    <n v="495"/>
    <n v="241676"/>
    <n v="488.23434343434343"/>
    <n v="644"/>
    <n v="314422.91717171716"/>
    <n v="644"/>
    <n v="314422.91717171716"/>
    <n v="644"/>
    <n v="314422.91717171716"/>
  </r>
  <r>
    <x v="5"/>
    <s v="JUAN PABLO LEMA VILLEGAS"/>
    <s v="Salseros"/>
    <x v="108"/>
    <x v="108"/>
    <n v="0"/>
    <n v="0"/>
    <n v="0"/>
    <n v="0"/>
    <n v="0"/>
    <n v="0"/>
    <n v="5000"/>
    <n v="205000"/>
    <n v="0"/>
    <n v="0"/>
    <n v="0"/>
    <n v="0"/>
    <n v="833"/>
    <n v="34167"/>
    <n v="41.016806722689076"/>
    <n v="1083"/>
    <n v="44421.201680672268"/>
    <n v="1083"/>
    <n v="44421.201680672268"/>
    <n v="1083"/>
    <n v="44421.201680672268"/>
  </r>
  <r>
    <x v="5"/>
    <s v="JUAN PABLO VILLEGAS CEBALLOS"/>
    <s v="BOLSAS"/>
    <x v="139"/>
    <x v="139"/>
    <n v="50"/>
    <n v="43250"/>
    <n v="0"/>
    <n v="0"/>
    <n v="0"/>
    <n v="0"/>
    <n v="0"/>
    <n v="0"/>
    <n v="0"/>
    <n v="0"/>
    <n v="0"/>
    <n v="0"/>
    <n v="8"/>
    <n v="7208"/>
    <n v="901"/>
    <n v="11"/>
    <n v="9911"/>
    <n v="11"/>
    <n v="9911"/>
    <n v="11"/>
    <n v="9911"/>
  </r>
  <r>
    <x v="5"/>
    <s v="JUAN PABLO VILLEGAS CEBALLOS"/>
    <s v="BOLSAS"/>
    <x v="140"/>
    <x v="140"/>
    <n v="200"/>
    <n v="157000"/>
    <n v="0"/>
    <n v="0"/>
    <n v="0"/>
    <n v="0"/>
    <n v="0"/>
    <n v="0"/>
    <n v="0"/>
    <n v="0"/>
    <n v="0"/>
    <n v="0"/>
    <n v="33"/>
    <n v="26167"/>
    <n v="792.93939393939399"/>
    <n v="43"/>
    <n v="34096.393939393944"/>
    <n v="43"/>
    <n v="34096.393939393944"/>
    <n v="43"/>
    <n v="34096.393939393944"/>
  </r>
  <r>
    <x v="5"/>
    <s v="JUDITH  LUGO SUAREZ"/>
    <s v="BOLSAS"/>
    <x v="162"/>
    <x v="162"/>
    <n v="0"/>
    <n v="0"/>
    <n v="0"/>
    <n v="0"/>
    <n v="0"/>
    <n v="0"/>
    <n v="0"/>
    <n v="0"/>
    <n v="0"/>
    <n v="0"/>
    <n v="148"/>
    <n v="157805"/>
    <n v="25"/>
    <n v="26301"/>
    <n v="1052.04"/>
    <n v="32"/>
    <n v="33665.279999999999"/>
    <n v="32"/>
    <n v="33665.279999999999"/>
    <n v="32"/>
    <n v="33665.279999999999"/>
  </r>
  <r>
    <x v="5"/>
    <s v="JUDITH  LUGO SUAREZ"/>
    <s v="BOLSAS"/>
    <x v="161"/>
    <x v="161"/>
    <n v="0"/>
    <n v="0"/>
    <n v="0"/>
    <n v="0"/>
    <n v="0"/>
    <n v="0"/>
    <n v="0"/>
    <n v="0"/>
    <n v="0"/>
    <n v="0"/>
    <n v="74"/>
    <n v="68200"/>
    <n v="12"/>
    <n v="11367"/>
    <n v="947.25"/>
    <n v="16"/>
    <n v="15156"/>
    <n v="16"/>
    <n v="15156"/>
    <n v="16"/>
    <n v="15156"/>
  </r>
  <r>
    <x v="5"/>
    <s v="JUDITH  LUGO SUAREZ"/>
    <s v="BOLSAS"/>
    <x v="139"/>
    <x v="139"/>
    <n v="0"/>
    <n v="0"/>
    <n v="0"/>
    <n v="0"/>
    <n v="0"/>
    <n v="0"/>
    <n v="0"/>
    <n v="0"/>
    <n v="0"/>
    <n v="0"/>
    <n v="74"/>
    <n v="63845"/>
    <n v="12"/>
    <n v="10641"/>
    <n v="886.75"/>
    <n v="16"/>
    <n v="14188"/>
    <n v="16"/>
    <n v="14188"/>
    <n v="16"/>
    <n v="14188"/>
  </r>
  <r>
    <x v="5"/>
    <s v="KIBYS SAS"/>
    <s v="BOLSAS"/>
    <x v="141"/>
    <x v="141"/>
    <n v="0"/>
    <n v="0"/>
    <n v="0"/>
    <n v="0"/>
    <n v="0"/>
    <n v="0"/>
    <n v="100"/>
    <n v="90500"/>
    <n v="0"/>
    <n v="0"/>
    <n v="0"/>
    <n v="0"/>
    <n v="17"/>
    <n v="15083"/>
    <n v="887.23529411764707"/>
    <n v="22"/>
    <n v="19519.176470588234"/>
    <n v="22"/>
    <n v="19519.176470588234"/>
    <n v="22"/>
    <n v="19519.176470588234"/>
  </r>
  <r>
    <x v="5"/>
    <s v="LADY ALEJANDRA CHAMORRO PALACIOS"/>
    <s v="SEEDPACK"/>
    <x v="103"/>
    <x v="103"/>
    <n v="45"/>
    <n v="33165"/>
    <n v="0"/>
    <n v="0"/>
    <n v="0"/>
    <n v="0"/>
    <n v="0"/>
    <n v="0"/>
    <n v="0"/>
    <n v="0"/>
    <n v="0"/>
    <n v="0"/>
    <n v="8"/>
    <n v="5528"/>
    <n v="691"/>
    <n v="10"/>
    <n v="6910"/>
    <n v="10"/>
    <n v="6910"/>
    <n v="10"/>
    <n v="6910"/>
  </r>
  <r>
    <x v="5"/>
    <s v="LADY ALEJANDRA CHAMORRO PALACIOS"/>
    <s v="SEEDPACK"/>
    <x v="104"/>
    <x v="104"/>
    <n v="75"/>
    <n v="61950"/>
    <n v="0"/>
    <n v="0"/>
    <n v="0"/>
    <n v="0"/>
    <n v="0"/>
    <n v="0"/>
    <n v="0"/>
    <n v="0"/>
    <n v="0"/>
    <n v="0"/>
    <n v="12"/>
    <n v="10325"/>
    <n v="860.41666666666663"/>
    <n v="16"/>
    <n v="13766.666666666666"/>
    <n v="16"/>
    <n v="13766.666666666666"/>
    <n v="16"/>
    <n v="13766.666666666666"/>
  </r>
  <r>
    <x v="5"/>
    <s v="LAURA  CORREA RESTREPO"/>
    <s v="BOLSAS"/>
    <x v="139"/>
    <x v="139"/>
    <n v="0"/>
    <n v="0"/>
    <n v="0"/>
    <n v="0"/>
    <n v="0"/>
    <n v="0"/>
    <n v="0"/>
    <n v="0"/>
    <n v="50"/>
    <n v="43250"/>
    <n v="0"/>
    <n v="0"/>
    <n v="8"/>
    <n v="7208"/>
    <n v="901"/>
    <n v="11"/>
    <n v="9911"/>
    <n v="11"/>
    <n v="9911"/>
    <n v="11"/>
    <n v="9911"/>
  </r>
  <r>
    <x v="5"/>
    <s v="LAURA  CORREA RESTREPO"/>
    <s v="BOLSAS"/>
    <x v="140"/>
    <x v="140"/>
    <n v="0"/>
    <n v="0"/>
    <n v="0"/>
    <n v="0"/>
    <n v="0"/>
    <n v="0"/>
    <n v="0"/>
    <n v="0"/>
    <n v="50"/>
    <n v="39250"/>
    <n v="0"/>
    <n v="0"/>
    <n v="8"/>
    <n v="6542"/>
    <n v="817.75"/>
    <n v="11"/>
    <n v="8995.25"/>
    <n v="11"/>
    <n v="8995.25"/>
    <n v="11"/>
    <n v="8995.25"/>
  </r>
  <r>
    <x v="5"/>
    <s v="LAURA STEPHANIE MEDINA HOYOS"/>
    <s v="Salseros"/>
    <x v="108"/>
    <x v="108"/>
    <n v="0"/>
    <n v="0"/>
    <n v="5000"/>
    <n v="163500"/>
    <n v="0"/>
    <n v="0"/>
    <n v="0"/>
    <n v="0"/>
    <n v="0"/>
    <n v="0"/>
    <n v="0"/>
    <n v="0"/>
    <n v="833"/>
    <n v="27250"/>
    <n v="32.71308523409364"/>
    <n v="1083"/>
    <n v="35428.271308523414"/>
    <n v="1083"/>
    <n v="35428.271308523414"/>
    <n v="1083"/>
    <n v="35428.271308523414"/>
  </r>
  <r>
    <x v="5"/>
    <s v="LEDY YASMITH GIRALDO ECHEVERRY"/>
    <s v="FLETE VENTAS"/>
    <x v="147"/>
    <x v="147"/>
    <n v="0"/>
    <n v="0"/>
    <n v="1"/>
    <n v="15000"/>
    <n v="0"/>
    <n v="0"/>
    <n v="1"/>
    <n v="15000"/>
    <n v="0"/>
    <n v="0"/>
    <n v="1"/>
    <n v="22143"/>
    <n v="1"/>
    <n v="8690"/>
    <n v="8690"/>
    <n v="1"/>
    <n v="8690"/>
    <n v="1"/>
    <n v="8690"/>
    <n v="1"/>
    <n v="8690"/>
  </r>
  <r>
    <x v="5"/>
    <s v="LEDY YASMITH GIRALDO ECHEVERRY"/>
    <s v="SEEDPACK"/>
    <x v="157"/>
    <x v="157"/>
    <n v="0"/>
    <n v="0"/>
    <n v="200"/>
    <n v="96400"/>
    <n v="0"/>
    <n v="0"/>
    <n v="200"/>
    <n v="96400"/>
    <n v="0"/>
    <n v="0"/>
    <n v="0"/>
    <n v="0"/>
    <n v="67"/>
    <n v="32133"/>
    <n v="479.59701492537312"/>
    <n v="87"/>
    <n v="41724.940298507463"/>
    <n v="87"/>
    <n v="41724.940298507463"/>
    <n v="87"/>
    <n v="41724.940298507463"/>
  </r>
  <r>
    <x v="5"/>
    <s v="LEDY YASMITH GIRALDO ECHEVERRY"/>
    <s v="SEEDPACK"/>
    <x v="158"/>
    <x v="158"/>
    <n v="0"/>
    <n v="0"/>
    <n v="0"/>
    <n v="0"/>
    <n v="0"/>
    <n v="0"/>
    <n v="0"/>
    <n v="0"/>
    <n v="0"/>
    <n v="0"/>
    <n v="44"/>
    <n v="36403"/>
    <n v="7"/>
    <n v="6067"/>
    <n v="866.71428571428567"/>
    <n v="10"/>
    <n v="8667.1428571428569"/>
    <n v="10"/>
    <n v="8667.1428571428569"/>
    <n v="10"/>
    <n v="8667.1428571428569"/>
  </r>
  <r>
    <x v="5"/>
    <s v="LEDY YASMITH GIRALDO ECHEVERRY"/>
    <s v="SEEDPACK"/>
    <x v="159"/>
    <x v="159"/>
    <n v="0"/>
    <n v="0"/>
    <n v="0"/>
    <n v="0"/>
    <n v="0"/>
    <n v="0"/>
    <n v="0"/>
    <n v="0"/>
    <n v="0"/>
    <n v="0"/>
    <n v="74"/>
    <n v="45762"/>
    <n v="12"/>
    <n v="7627"/>
    <n v="635.58333333333337"/>
    <n v="16"/>
    <n v="10169.333333333334"/>
    <n v="16"/>
    <n v="10169.333333333334"/>
    <n v="16"/>
    <n v="10169.333333333334"/>
  </r>
  <r>
    <x v="5"/>
    <s v="LEINER  ATENCIA CARCAMO"/>
    <s v="Salseros"/>
    <x v="108"/>
    <x v="108"/>
    <n v="0"/>
    <n v="0"/>
    <n v="0"/>
    <n v="0"/>
    <n v="0"/>
    <n v="0"/>
    <n v="750"/>
    <n v="28875"/>
    <n v="0"/>
    <n v="0"/>
    <n v="0"/>
    <n v="0"/>
    <n v="125"/>
    <n v="4812"/>
    <n v="38.496000000000002"/>
    <n v="162"/>
    <n v="6236.3520000000008"/>
    <n v="162"/>
    <n v="6236.3520000000008"/>
    <n v="162"/>
    <n v="6236.3520000000008"/>
  </r>
  <r>
    <x v="5"/>
    <s v="LEINER  ATENCIA CARCAMO"/>
    <s v="Salseros"/>
    <x v="110"/>
    <x v="110"/>
    <n v="0"/>
    <n v="0"/>
    <n v="0"/>
    <n v="0"/>
    <n v="0"/>
    <n v="0"/>
    <n v="750"/>
    <n v="30000"/>
    <n v="0"/>
    <n v="0"/>
    <n v="0"/>
    <n v="0"/>
    <n v="125"/>
    <n v="5000"/>
    <n v="40"/>
    <n v="162"/>
    <n v="6480"/>
    <n v="162"/>
    <n v="6480"/>
    <n v="162"/>
    <n v="6480"/>
  </r>
  <r>
    <x v="5"/>
    <s v="LENHA S.A.S."/>
    <s v="Salseros"/>
    <x v="108"/>
    <x v="108"/>
    <n v="0"/>
    <n v="0"/>
    <n v="10000"/>
    <n v="375000"/>
    <n v="0"/>
    <n v="0"/>
    <n v="0"/>
    <n v="0"/>
    <n v="10000"/>
    <n v="375000"/>
    <n v="0"/>
    <n v="0"/>
    <n v="3333"/>
    <n v="125000"/>
    <n v="37.503750375037505"/>
    <n v="4333"/>
    <n v="162503.75037503752"/>
    <n v="4333"/>
    <n v="162503.75037503752"/>
    <n v="4333"/>
    <n v="162503.75037503752"/>
  </r>
  <r>
    <x v="5"/>
    <s v="LILIA BEATRIZ CUARTAS GIRALDO"/>
    <s v="SEEDPACK"/>
    <x v="163"/>
    <x v="163"/>
    <n v="720"/>
    <n v="230400"/>
    <n v="0"/>
    <n v="0"/>
    <n v="0"/>
    <n v="0"/>
    <n v="0"/>
    <n v="0"/>
    <n v="0"/>
    <n v="0"/>
    <n v="0"/>
    <n v="0"/>
    <n v="120"/>
    <n v="38400"/>
    <n v="320"/>
    <n v="156"/>
    <n v="49920"/>
    <n v="156"/>
    <n v="49920"/>
    <n v="156"/>
    <n v="49920"/>
  </r>
  <r>
    <x v="5"/>
    <s v="LILIANA  MENDOZA SANDOVAL"/>
    <s v="PLATOS"/>
    <x v="129"/>
    <x v="129"/>
    <n v="0"/>
    <n v="0"/>
    <n v="0"/>
    <n v="0"/>
    <n v="0"/>
    <n v="0"/>
    <n v="40"/>
    <n v="29280"/>
    <n v="0"/>
    <n v="0"/>
    <n v="0"/>
    <n v="0"/>
    <n v="7"/>
    <n v="4880"/>
    <n v="697.14285714285711"/>
    <n v="9"/>
    <n v="6274.2857142857138"/>
    <n v="9"/>
    <n v="6274.2857142857138"/>
    <n v="9"/>
    <n v="6274.2857142857138"/>
  </r>
  <r>
    <x v="5"/>
    <s v="LILIANA  MENDOZA SANDOVAL"/>
    <s v="PLATOS"/>
    <x v="143"/>
    <x v="143"/>
    <n v="0"/>
    <n v="0"/>
    <n v="0"/>
    <n v="0"/>
    <n v="0"/>
    <n v="0"/>
    <n v="40"/>
    <n v="16800"/>
    <n v="0"/>
    <n v="0"/>
    <n v="0"/>
    <n v="0"/>
    <n v="7"/>
    <n v="2800"/>
    <n v="400"/>
    <n v="9"/>
    <n v="3600"/>
    <n v="9"/>
    <n v="3600"/>
    <n v="9"/>
    <n v="3600"/>
  </r>
  <r>
    <x v="5"/>
    <s v="LIVING COMPANY SAS"/>
    <s v="BOLSAS"/>
    <x v="139"/>
    <x v="139"/>
    <n v="0"/>
    <n v="0"/>
    <n v="0"/>
    <n v="0"/>
    <n v="200"/>
    <n v="173000"/>
    <n v="0"/>
    <n v="0"/>
    <n v="0"/>
    <n v="0"/>
    <n v="0"/>
    <n v="0"/>
    <n v="33"/>
    <n v="28833"/>
    <n v="873.72727272727275"/>
    <n v="43"/>
    <n v="37570.272727272728"/>
    <n v="43"/>
    <n v="37570.272727272728"/>
    <n v="43"/>
    <n v="37570.272727272728"/>
  </r>
  <r>
    <x v="5"/>
    <s v="LIVING COMPANY SAS"/>
    <s v="BOLSAS"/>
    <x v="140"/>
    <x v="140"/>
    <n v="0"/>
    <n v="0"/>
    <n v="0"/>
    <n v="0"/>
    <n v="200"/>
    <n v="157000"/>
    <n v="0"/>
    <n v="0"/>
    <n v="0"/>
    <n v="0"/>
    <n v="0"/>
    <n v="0"/>
    <n v="33"/>
    <n v="26167"/>
    <n v="792.93939393939399"/>
    <n v="43"/>
    <n v="34096.393939393944"/>
    <n v="43"/>
    <n v="34096.393939393944"/>
    <n v="43"/>
    <n v="34096.393939393944"/>
  </r>
  <r>
    <x v="5"/>
    <s v="LUISA  GARCES"/>
    <s v="SEEDPACK"/>
    <x v="118"/>
    <x v="118"/>
    <n v="0"/>
    <n v="0"/>
    <n v="0"/>
    <n v="0"/>
    <n v="0"/>
    <n v="0"/>
    <n v="75"/>
    <n v="36600"/>
    <n v="0"/>
    <n v="0"/>
    <n v="0"/>
    <n v="0"/>
    <n v="12"/>
    <n v="6100"/>
    <n v="508.33333333333331"/>
    <n v="16"/>
    <n v="8133.333333333333"/>
    <n v="16"/>
    <n v="8133.333333333333"/>
    <n v="16"/>
    <n v="8133.333333333333"/>
  </r>
  <r>
    <x v="5"/>
    <s v="LUISA  GARCES"/>
    <s v="SEEDPACK"/>
    <x v="119"/>
    <x v="119"/>
    <n v="0"/>
    <n v="0"/>
    <n v="0"/>
    <n v="0"/>
    <n v="0"/>
    <n v="0"/>
    <n v="45"/>
    <n v="34650"/>
    <n v="0"/>
    <n v="0"/>
    <n v="0"/>
    <n v="0"/>
    <n v="8"/>
    <n v="5775"/>
    <n v="721.875"/>
    <n v="10"/>
    <n v="7218.75"/>
    <n v="10"/>
    <n v="7218.75"/>
    <n v="10"/>
    <n v="7218.75"/>
  </r>
  <r>
    <x v="5"/>
    <s v="LUZ ELENA EPIA"/>
    <s v="BOLSAS"/>
    <x v="164"/>
    <x v="164"/>
    <n v="0"/>
    <n v="0"/>
    <n v="0"/>
    <n v="0"/>
    <n v="0"/>
    <n v="0"/>
    <n v="0"/>
    <n v="0"/>
    <n v="50"/>
    <n v="68250"/>
    <n v="0"/>
    <n v="0"/>
    <n v="8"/>
    <n v="11375"/>
    <n v="1421.875"/>
    <n v="11"/>
    <n v="15640.625"/>
    <n v="11"/>
    <n v="15640.625"/>
    <n v="11"/>
    <n v="15640.625"/>
  </r>
  <r>
    <x v="5"/>
    <s v="LUZ ELENA EPIA"/>
    <s v="BOLSAS"/>
    <x v="161"/>
    <x v="161"/>
    <n v="0"/>
    <n v="0"/>
    <n v="0"/>
    <n v="0"/>
    <n v="0"/>
    <n v="0"/>
    <n v="0"/>
    <n v="0"/>
    <n v="50"/>
    <n v="46200"/>
    <n v="0"/>
    <n v="0"/>
    <n v="8"/>
    <n v="7700"/>
    <n v="962.5"/>
    <n v="11"/>
    <n v="10587.5"/>
    <n v="11"/>
    <n v="10587.5"/>
    <n v="11"/>
    <n v="10587.5"/>
  </r>
  <r>
    <x v="5"/>
    <s v="LUZ MILENA LÓPEZ JIMÉNEZ"/>
    <s v="SEEDPACK"/>
    <x v="98"/>
    <x v="98"/>
    <n v="0"/>
    <n v="0"/>
    <n v="0"/>
    <n v="0"/>
    <n v="0"/>
    <n v="0"/>
    <n v="0"/>
    <n v="0"/>
    <n v="60"/>
    <n v="74820"/>
    <n v="0"/>
    <n v="0"/>
    <n v="10"/>
    <n v="12470"/>
    <n v="1247"/>
    <n v="13"/>
    <n v="16211"/>
    <n v="13"/>
    <n v="16211"/>
    <n v="13"/>
    <n v="16211"/>
  </r>
  <r>
    <x v="5"/>
    <s v="LUZ STELLA MARTINEZ LEGARDA"/>
    <s v="BOLSAS"/>
    <x v="151"/>
    <x v="151"/>
    <n v="0"/>
    <n v="0"/>
    <n v="0"/>
    <n v="0"/>
    <n v="0"/>
    <n v="0"/>
    <n v="0"/>
    <n v="0"/>
    <n v="50"/>
    <n v="29850"/>
    <n v="0"/>
    <n v="0"/>
    <n v="8"/>
    <n v="4975"/>
    <n v="621.875"/>
    <n v="11"/>
    <n v="6840.625"/>
    <n v="11"/>
    <n v="6840.625"/>
    <n v="11"/>
    <n v="6840.625"/>
  </r>
  <r>
    <x v="5"/>
    <s v="LUZ STELLA MARTINEZ LEGARDA"/>
    <s v="BOLSAS"/>
    <x v="138"/>
    <x v="138"/>
    <n v="0"/>
    <n v="0"/>
    <n v="0"/>
    <n v="0"/>
    <n v="0"/>
    <n v="0"/>
    <n v="0"/>
    <n v="0"/>
    <n v="50"/>
    <n v="26200"/>
    <n v="0"/>
    <n v="0"/>
    <n v="8"/>
    <n v="4367"/>
    <n v="545.875"/>
    <n v="11"/>
    <n v="6004.625"/>
    <n v="11"/>
    <n v="6004.625"/>
    <n v="11"/>
    <n v="6004.625"/>
  </r>
  <r>
    <x v="5"/>
    <s v="MAAR GROUP SAS"/>
    <s v="BOLSAS"/>
    <x v="138"/>
    <x v="138"/>
    <n v="0"/>
    <n v="0"/>
    <n v="0"/>
    <n v="0"/>
    <n v="0"/>
    <n v="0"/>
    <n v="0"/>
    <n v="0"/>
    <n v="0"/>
    <n v="0"/>
    <n v="148"/>
    <n v="77352"/>
    <n v="25"/>
    <n v="12892"/>
    <n v="515.67999999999995"/>
    <n v="32"/>
    <n v="16501.759999999998"/>
    <n v="32"/>
    <n v="16501.759999999998"/>
    <n v="32"/>
    <n v="16501.759999999998"/>
  </r>
  <r>
    <x v="5"/>
    <s v="MAAR GROUP SAS"/>
    <s v="BOLSAS"/>
    <x v="141"/>
    <x v="141"/>
    <n v="0"/>
    <n v="0"/>
    <n v="0"/>
    <n v="0"/>
    <n v="0"/>
    <n v="0"/>
    <n v="0"/>
    <n v="0"/>
    <n v="0"/>
    <n v="0"/>
    <n v="295"/>
    <n v="267190"/>
    <n v="49"/>
    <n v="44532"/>
    <n v="908.81632653061229"/>
    <n v="64"/>
    <n v="58164.244897959186"/>
    <n v="64"/>
    <n v="58164.244897959186"/>
    <n v="64"/>
    <n v="58164.244897959186"/>
  </r>
  <r>
    <x v="5"/>
    <s v="MAAR GROUP SAS"/>
    <s v="BOLSAS"/>
    <x v="139"/>
    <x v="139"/>
    <n v="0"/>
    <n v="0"/>
    <n v="0"/>
    <n v="0"/>
    <n v="0"/>
    <n v="0"/>
    <n v="0"/>
    <n v="0"/>
    <n v="0"/>
    <n v="0"/>
    <n v="295"/>
    <n v="255381"/>
    <n v="49"/>
    <n v="42563"/>
    <n v="868.63265306122446"/>
    <n v="64"/>
    <n v="55592.489795918365"/>
    <n v="64"/>
    <n v="55592.489795918365"/>
    <n v="64"/>
    <n v="55592.489795918365"/>
  </r>
  <r>
    <x v="5"/>
    <s v="MAAR GROUP SAS"/>
    <s v="BOLSAS"/>
    <x v="140"/>
    <x v="140"/>
    <n v="0"/>
    <n v="0"/>
    <n v="0"/>
    <n v="0"/>
    <n v="0"/>
    <n v="0"/>
    <n v="0"/>
    <n v="0"/>
    <n v="0"/>
    <n v="0"/>
    <n v="148"/>
    <n v="115881"/>
    <n v="25"/>
    <n v="19313"/>
    <n v="772.52"/>
    <n v="32"/>
    <n v="24720.639999999999"/>
    <n v="32"/>
    <n v="24720.639999999999"/>
    <n v="32"/>
    <n v="24720.639999999999"/>
  </r>
  <r>
    <x v="5"/>
    <s v="MAAR GROUP SAS"/>
    <s v="Salseros"/>
    <x v="108"/>
    <x v="108"/>
    <n v="0"/>
    <n v="0"/>
    <n v="10000"/>
    <n v="410000"/>
    <n v="0"/>
    <n v="0"/>
    <n v="10000"/>
    <n v="410000"/>
    <n v="0"/>
    <n v="0"/>
    <n v="7381"/>
    <n v="302619"/>
    <n v="4563"/>
    <n v="187103"/>
    <n v="41.004383081306159"/>
    <n v="5933"/>
    <n v="243279.00482138945"/>
    <n v="5933"/>
    <n v="243279.00482138945"/>
    <n v="5933"/>
    <n v="243279.00482138945"/>
  </r>
  <r>
    <x v="5"/>
    <s v="MAAR GROUP SAS"/>
    <s v="Salseros"/>
    <x v="110"/>
    <x v="110"/>
    <n v="5000"/>
    <n v="205000"/>
    <n v="0"/>
    <n v="0"/>
    <n v="0"/>
    <n v="0"/>
    <n v="0"/>
    <n v="0"/>
    <n v="0"/>
    <n v="0"/>
    <n v="7381"/>
    <n v="302619"/>
    <n v="2063"/>
    <n v="84603"/>
    <n v="41.009694619486183"/>
    <n v="2683"/>
    <n v="110029.01066408143"/>
    <n v="2683"/>
    <n v="110029.01066408143"/>
    <n v="2683"/>
    <n v="110029.01066408143"/>
  </r>
  <r>
    <x v="5"/>
    <s v="MARCELA  GARCIA RAMIREZ"/>
    <s v="BOLSAS"/>
    <x v="139"/>
    <x v="139"/>
    <n v="0"/>
    <n v="0"/>
    <n v="0"/>
    <n v="0"/>
    <n v="0"/>
    <n v="0"/>
    <n v="50"/>
    <n v="43250"/>
    <n v="0"/>
    <n v="0"/>
    <n v="0"/>
    <n v="0"/>
    <n v="8"/>
    <n v="7208"/>
    <n v="901"/>
    <n v="11"/>
    <n v="9911"/>
    <n v="11"/>
    <n v="9911"/>
    <n v="11"/>
    <n v="9911"/>
  </r>
  <r>
    <x v="5"/>
    <s v="MARIA LUCIA ACOSTA ABRIL"/>
    <s v="SEEDPACK"/>
    <x v="165"/>
    <x v="165"/>
    <n v="0"/>
    <n v="0"/>
    <n v="120"/>
    <n v="39360"/>
    <n v="0"/>
    <n v="0"/>
    <n v="0"/>
    <n v="0"/>
    <n v="0"/>
    <n v="0"/>
    <n v="295"/>
    <n v="96838"/>
    <n v="69"/>
    <n v="22700"/>
    <n v="328.98550724637681"/>
    <n v="90"/>
    <n v="29608.695652173912"/>
    <n v="90"/>
    <n v="29608.695652173912"/>
    <n v="90"/>
    <n v="29608.695652173912"/>
  </r>
  <r>
    <x v="5"/>
    <s v="MARIA PAULA GONZALEZ"/>
    <s v="BOLSAS"/>
    <x v="140"/>
    <x v="140"/>
    <n v="0"/>
    <n v="0"/>
    <n v="0"/>
    <n v="0"/>
    <n v="0"/>
    <n v="0"/>
    <n v="50"/>
    <n v="39250"/>
    <n v="0"/>
    <n v="0"/>
    <n v="0"/>
    <n v="0"/>
    <n v="8"/>
    <n v="6542"/>
    <n v="817.75"/>
    <n v="11"/>
    <n v="8995.25"/>
    <n v="11"/>
    <n v="8995.25"/>
    <n v="11"/>
    <n v="8995.25"/>
  </r>
  <r>
    <x v="5"/>
    <s v="MARIA PAULA GONZALEZ"/>
    <s v="SEEDPACK"/>
    <x v="98"/>
    <x v="98"/>
    <n v="0"/>
    <n v="0"/>
    <n v="0"/>
    <n v="0"/>
    <n v="0"/>
    <n v="0"/>
    <n v="20"/>
    <n v="24940"/>
    <n v="0"/>
    <n v="0"/>
    <n v="0"/>
    <n v="0"/>
    <n v="3"/>
    <n v="4157"/>
    <n v="1385.6666666666667"/>
    <n v="4"/>
    <n v="5542.666666666667"/>
    <n v="4"/>
    <n v="5542.666666666667"/>
    <n v="4"/>
    <n v="5542.666666666667"/>
  </r>
  <r>
    <x v="5"/>
    <s v="MARTA CECILIA GUEVARA MORA"/>
    <s v="BOLSAS"/>
    <x v="138"/>
    <x v="138"/>
    <n v="50"/>
    <n v="26200"/>
    <n v="0"/>
    <n v="0"/>
    <n v="0"/>
    <n v="0"/>
    <n v="0"/>
    <n v="0"/>
    <n v="0"/>
    <n v="0"/>
    <n v="0"/>
    <n v="0"/>
    <n v="8"/>
    <n v="4367"/>
    <n v="545.875"/>
    <n v="11"/>
    <n v="6004.625"/>
    <n v="11"/>
    <n v="6004.625"/>
    <n v="11"/>
    <n v="6004.625"/>
  </r>
  <r>
    <x v="5"/>
    <s v="MELISSA  GIRALDO ESTRADA"/>
    <s v="SEEDPACK"/>
    <x v="95"/>
    <x v="95"/>
    <n v="0"/>
    <n v="0"/>
    <n v="0"/>
    <n v="0"/>
    <n v="50"/>
    <n v="72550"/>
    <n v="0"/>
    <n v="0"/>
    <n v="0"/>
    <n v="0"/>
    <n v="0"/>
    <n v="0"/>
    <n v="8"/>
    <n v="12092"/>
    <n v="1511.5"/>
    <n v="11"/>
    <n v="16626.5"/>
    <n v="11"/>
    <n v="16626.5"/>
    <n v="11"/>
    <n v="16626.5"/>
  </r>
  <r>
    <x v="5"/>
    <s v="MONICA YULIETH CAPERA PERDOMO"/>
    <s v="BOLSAS"/>
    <x v="139"/>
    <x v="139"/>
    <n v="0"/>
    <n v="0"/>
    <n v="0"/>
    <n v="0"/>
    <n v="0"/>
    <n v="0"/>
    <n v="0"/>
    <n v="0"/>
    <n v="50"/>
    <n v="43250"/>
    <n v="0"/>
    <n v="0"/>
    <n v="8"/>
    <n v="7208"/>
    <n v="901"/>
    <n v="11"/>
    <n v="9911"/>
    <n v="11"/>
    <n v="9911"/>
    <n v="11"/>
    <n v="9911"/>
  </r>
  <r>
    <x v="5"/>
    <s v="MONICA YULIETH CAPERA PERDOMO"/>
    <s v="BOLSAS"/>
    <x v="140"/>
    <x v="140"/>
    <n v="0"/>
    <n v="0"/>
    <n v="0"/>
    <n v="0"/>
    <n v="0"/>
    <n v="0"/>
    <n v="0"/>
    <n v="0"/>
    <n v="50"/>
    <n v="39250"/>
    <n v="0"/>
    <n v="0"/>
    <n v="8"/>
    <n v="6542"/>
    <n v="817.75"/>
    <n v="11"/>
    <n v="8995.25"/>
    <n v="11"/>
    <n v="8995.25"/>
    <n v="11"/>
    <n v="8995.25"/>
  </r>
  <r>
    <x v="5"/>
    <s v="MULTIGRAFICAS SAS"/>
    <s v="BOLSAS"/>
    <x v="138"/>
    <x v="138"/>
    <n v="0"/>
    <n v="0"/>
    <n v="0"/>
    <n v="0"/>
    <n v="0"/>
    <n v="0"/>
    <n v="100"/>
    <n v="52400"/>
    <n v="0"/>
    <n v="0"/>
    <n v="0"/>
    <n v="0"/>
    <n v="17"/>
    <n v="8733"/>
    <n v="513.70588235294122"/>
    <n v="22"/>
    <n v="11301.529411764706"/>
    <n v="22"/>
    <n v="11301.529411764706"/>
    <n v="22"/>
    <n v="11301.529411764706"/>
  </r>
  <r>
    <x v="5"/>
    <s v="NELSON ANDRES CHACON MOJICA"/>
    <s v="FLETE VENTAS"/>
    <x v="147"/>
    <x v="147"/>
    <n v="1"/>
    <n v="15000"/>
    <n v="1"/>
    <n v="15000"/>
    <n v="1"/>
    <n v="15000"/>
    <n v="1"/>
    <n v="15000"/>
    <n v="1"/>
    <n v="15000"/>
    <n v="1"/>
    <n v="22143"/>
    <n v="1"/>
    <n v="16190"/>
    <n v="16190"/>
    <n v="1"/>
    <n v="16190"/>
    <n v="1"/>
    <n v="16190"/>
    <n v="1"/>
    <n v="16190"/>
  </r>
  <r>
    <x v="5"/>
    <s v="NELSON ANDRES CHACON MOJICA"/>
    <s v="SEEDPACK"/>
    <x v="158"/>
    <x v="158"/>
    <n v="0"/>
    <n v="0"/>
    <n v="0"/>
    <n v="0"/>
    <n v="0"/>
    <n v="0"/>
    <n v="0"/>
    <n v="0"/>
    <n v="90"/>
    <n v="73980"/>
    <n v="0"/>
    <n v="0"/>
    <n v="15"/>
    <n v="12330"/>
    <n v="822"/>
    <n v="20"/>
    <n v="16440"/>
    <n v="20"/>
    <n v="16440"/>
    <n v="20"/>
    <n v="16440"/>
  </r>
  <r>
    <x v="5"/>
    <s v="NELSON ANDRES CHACON MOJICA"/>
    <s v="Salseros"/>
    <x v="108"/>
    <x v="108"/>
    <n v="1500"/>
    <n v="57750"/>
    <n v="1500"/>
    <n v="57750"/>
    <n v="1500"/>
    <n v="52500"/>
    <n v="1500"/>
    <n v="57750"/>
    <n v="0"/>
    <n v="0"/>
    <n v="2214"/>
    <n v="85250"/>
    <n v="1369"/>
    <n v="51833"/>
    <n v="37.861943024105187"/>
    <n v="1780"/>
    <n v="67394.258582907234"/>
    <n v="1780"/>
    <n v="67394.258582907234"/>
    <n v="1780"/>
    <n v="67394.258582907234"/>
  </r>
  <r>
    <x v="5"/>
    <s v="NICOLAS ELIAS RUMIE CARDONA"/>
    <s v="SEEDPACK"/>
    <x v="118"/>
    <x v="118"/>
    <n v="0"/>
    <n v="0"/>
    <n v="1200"/>
    <n v="704400"/>
    <n v="1200"/>
    <n v="704400"/>
    <n v="0"/>
    <n v="0"/>
    <n v="1200"/>
    <n v="704400"/>
    <n v="0"/>
    <n v="0"/>
    <n v="600"/>
    <n v="352200"/>
    <n v="587"/>
    <n v="780"/>
    <n v="457860"/>
    <n v="780"/>
    <n v="457860"/>
    <n v="780"/>
    <n v="457860"/>
  </r>
  <r>
    <x v="5"/>
    <s v="NICOLAS ELIAS RUMIE CARDONA"/>
    <s v="SEEDPACK"/>
    <x v="119"/>
    <x v="119"/>
    <n v="0"/>
    <n v="0"/>
    <n v="360"/>
    <n v="286920"/>
    <n v="720"/>
    <n v="573840"/>
    <n v="0"/>
    <n v="0"/>
    <n v="360"/>
    <n v="286920"/>
    <n v="0"/>
    <n v="0"/>
    <n v="240"/>
    <n v="191280"/>
    <n v="797"/>
    <n v="312"/>
    <n v="248664"/>
    <n v="312"/>
    <n v="248664"/>
    <n v="312"/>
    <n v="248664"/>
  </r>
  <r>
    <x v="5"/>
    <s v="NICOLLE  MEJIA"/>
    <s v="SEEDPACK"/>
    <x v="118"/>
    <x v="118"/>
    <n v="0"/>
    <n v="0"/>
    <n v="0"/>
    <n v="0"/>
    <n v="60"/>
    <n v="29280"/>
    <n v="0"/>
    <n v="0"/>
    <n v="0"/>
    <n v="0"/>
    <n v="0"/>
    <n v="0"/>
    <n v="10"/>
    <n v="4880"/>
    <n v="488"/>
    <n v="13"/>
    <n v="6344"/>
    <n v="13"/>
    <n v="6344"/>
    <n v="13"/>
    <n v="6344"/>
  </r>
  <r>
    <x v="5"/>
    <s v="NUESTRA HOUSE S.A.S"/>
    <s v="SEEDPACK"/>
    <x v="122"/>
    <x v="122"/>
    <n v="0"/>
    <n v="0"/>
    <n v="0"/>
    <n v="0"/>
    <n v="0"/>
    <n v="0"/>
    <n v="50"/>
    <n v="45650"/>
    <n v="50"/>
    <n v="45650"/>
    <n v="0"/>
    <n v="0"/>
    <n v="17"/>
    <n v="15217"/>
    <n v="895.11764705882354"/>
    <n v="22"/>
    <n v="19692.588235294119"/>
    <n v="22"/>
    <n v="19692.588235294119"/>
    <n v="22"/>
    <n v="19692.588235294119"/>
  </r>
  <r>
    <x v="5"/>
    <s v="NUESTRA HOUSE S.A.S"/>
    <s v="SEEDPACK"/>
    <x v="98"/>
    <x v="98"/>
    <n v="0"/>
    <n v="0"/>
    <n v="0"/>
    <n v="0"/>
    <n v="0"/>
    <n v="0"/>
    <n v="50"/>
    <n v="62350"/>
    <n v="50"/>
    <n v="62350"/>
    <n v="0"/>
    <n v="0"/>
    <n v="17"/>
    <n v="20783"/>
    <n v="1222.5294117647059"/>
    <n v="22"/>
    <n v="26895.647058823528"/>
    <n v="22"/>
    <n v="26895.647058823528"/>
    <n v="22"/>
    <n v="26895.647058823528"/>
  </r>
  <r>
    <x v="5"/>
    <s v="OSCAR EDUARDO PINTO REYES"/>
    <s v="SEEDPACK"/>
    <x v="166"/>
    <x v="166"/>
    <n v="0"/>
    <n v="0"/>
    <n v="100"/>
    <n v="64800"/>
    <n v="0"/>
    <n v="0"/>
    <n v="0"/>
    <n v="0"/>
    <n v="0"/>
    <n v="0"/>
    <n v="0"/>
    <n v="0"/>
    <n v="17"/>
    <n v="10800"/>
    <n v="635.29411764705878"/>
    <n v="22"/>
    <n v="13976.470588235294"/>
    <n v="22"/>
    <n v="13976.470588235294"/>
    <n v="22"/>
    <n v="13976.470588235294"/>
  </r>
  <r>
    <x v="5"/>
    <s v="OSCAR EDUARDO PINTO REYES"/>
    <s v="SEEDPACK"/>
    <x v="113"/>
    <x v="113"/>
    <n v="0"/>
    <n v="0"/>
    <n v="200"/>
    <n v="112600"/>
    <n v="0"/>
    <n v="0"/>
    <n v="0"/>
    <n v="0"/>
    <n v="400"/>
    <n v="225200"/>
    <n v="0"/>
    <n v="0"/>
    <n v="100"/>
    <n v="56300"/>
    <n v="563"/>
    <n v="130"/>
    <n v="73190"/>
    <n v="130"/>
    <n v="73190"/>
    <n v="130"/>
    <n v="73190"/>
  </r>
  <r>
    <x v="5"/>
    <s v="OSCAR EDUARDO PINTO REYES"/>
    <s v="SEEDPACK"/>
    <x v="123"/>
    <x v="123"/>
    <n v="0"/>
    <n v="0"/>
    <n v="0"/>
    <n v="0"/>
    <n v="0"/>
    <n v="0"/>
    <n v="0"/>
    <n v="0"/>
    <n v="200"/>
    <n v="149000"/>
    <n v="0"/>
    <n v="0"/>
    <n v="33"/>
    <n v="24833"/>
    <n v="752.5151515151515"/>
    <n v="43"/>
    <n v="32358.151515151516"/>
    <n v="43"/>
    <n v="32358.151515151516"/>
    <n v="43"/>
    <n v="32358.151515151516"/>
  </r>
  <r>
    <x v="5"/>
    <s v="OSCAR EDUARDO PINTO REYES"/>
    <s v="SEEDPACK"/>
    <x v="104"/>
    <x v="104"/>
    <n v="0"/>
    <n v="0"/>
    <n v="150"/>
    <n v="123900"/>
    <n v="0"/>
    <n v="0"/>
    <n v="0"/>
    <n v="0"/>
    <n v="0"/>
    <n v="0"/>
    <n v="0"/>
    <n v="0"/>
    <n v="25"/>
    <n v="20650"/>
    <n v="826"/>
    <n v="32"/>
    <n v="26432"/>
    <n v="32"/>
    <n v="26432"/>
    <n v="32"/>
    <n v="26432"/>
  </r>
  <r>
    <x v="5"/>
    <s v="PAOLA  GAVIRIA CAÑON"/>
    <s v="FLETE VENTAS"/>
    <x v="147"/>
    <x v="147"/>
    <n v="0"/>
    <n v="0"/>
    <n v="0"/>
    <n v="0"/>
    <n v="0"/>
    <n v="0"/>
    <n v="1"/>
    <n v="22000"/>
    <n v="1"/>
    <n v="22000"/>
    <n v="1"/>
    <n v="32476"/>
    <n v="1"/>
    <n v="12746"/>
    <n v="12746"/>
    <n v="1"/>
    <n v="12746"/>
    <n v="1"/>
    <n v="12746"/>
    <n v="1"/>
    <n v="12746"/>
  </r>
  <r>
    <x v="5"/>
    <s v="PAOLA  GAVIRIA CAÑON"/>
    <s v="PLATOS"/>
    <x v="115"/>
    <x v="115"/>
    <n v="0"/>
    <n v="0"/>
    <n v="0"/>
    <n v="0"/>
    <n v="0"/>
    <n v="0"/>
    <n v="600"/>
    <n v="210000"/>
    <n v="160"/>
    <n v="56000"/>
    <n v="738"/>
    <n v="258333"/>
    <n v="250"/>
    <n v="87389"/>
    <n v="349.55599999999998"/>
    <n v="325"/>
    <n v="113605.7"/>
    <n v="325"/>
    <n v="113605.7"/>
    <n v="325"/>
    <n v="113605.7"/>
  </r>
  <r>
    <x v="5"/>
    <s v="PAOLA  GAVIRIA CAÑON"/>
    <s v="SEEDPACK"/>
    <x v="113"/>
    <x v="113"/>
    <n v="0"/>
    <n v="0"/>
    <n v="0"/>
    <n v="0"/>
    <n v="0"/>
    <n v="0"/>
    <n v="0"/>
    <n v="0"/>
    <n v="260"/>
    <n v="146380"/>
    <n v="148"/>
    <n v="83110"/>
    <n v="68"/>
    <n v="38248"/>
    <n v="562.47058823529414"/>
    <n v="88"/>
    <n v="49497.411764705888"/>
    <n v="88"/>
    <n v="49497.411764705888"/>
    <n v="88"/>
    <n v="49497.411764705888"/>
  </r>
  <r>
    <x v="5"/>
    <s v="POWER LAB SAS"/>
    <s v="SEEDPACK"/>
    <x v="118"/>
    <x v="118"/>
    <n v="0"/>
    <n v="0"/>
    <n v="750"/>
    <n v="351750"/>
    <n v="0"/>
    <n v="0"/>
    <n v="1350"/>
    <n v="633150"/>
    <n v="0"/>
    <n v="0"/>
    <n v="0"/>
    <n v="0"/>
    <n v="350"/>
    <n v="164150"/>
    <n v="469"/>
    <n v="455"/>
    <n v="213395"/>
    <n v="455"/>
    <n v="213395"/>
    <n v="455"/>
    <n v="213395"/>
  </r>
  <r>
    <x v="5"/>
    <s v="PRIMO CEVICHE SAS"/>
    <s v="PLATOS"/>
    <x v="167"/>
    <x v="167"/>
    <n v="0"/>
    <n v="0"/>
    <n v="0"/>
    <n v="0"/>
    <n v="0"/>
    <n v="0"/>
    <n v="1060"/>
    <n v="306340"/>
    <n v="0"/>
    <n v="0"/>
    <n v="0"/>
    <n v="0"/>
    <n v="177"/>
    <n v="51057"/>
    <n v="288.45762711864404"/>
    <n v="230"/>
    <n v="66345.254237288129"/>
    <n v="230"/>
    <n v="66345.254237288129"/>
    <n v="230"/>
    <n v="66345.254237288129"/>
  </r>
  <r>
    <x v="5"/>
    <s v="PRIMO CEVICHE SAS"/>
    <s v="PLATOS"/>
    <x v="168"/>
    <x v="168"/>
    <n v="1296"/>
    <n v="362880"/>
    <n v="0"/>
    <n v="0"/>
    <n v="0"/>
    <n v="0"/>
    <n v="0"/>
    <n v="0"/>
    <n v="0"/>
    <n v="0"/>
    <n v="0"/>
    <n v="0"/>
    <n v="216"/>
    <n v="60480"/>
    <n v="280"/>
    <n v="281"/>
    <n v="78680"/>
    <n v="281"/>
    <n v="78680"/>
    <n v="281"/>
    <n v="78680"/>
  </r>
  <r>
    <x v="5"/>
    <s v="PRODUCTOS PARA EL ALMA S.A.S."/>
    <s v="Salseros"/>
    <x v="110"/>
    <x v="110"/>
    <n v="0"/>
    <n v="0"/>
    <n v="10000"/>
    <n v="421000"/>
    <n v="0"/>
    <n v="0"/>
    <n v="0"/>
    <n v="0"/>
    <n v="0"/>
    <n v="0"/>
    <n v="0"/>
    <n v="0"/>
    <n v="1667"/>
    <n v="70167"/>
    <n v="42.091781643671268"/>
    <n v="2167"/>
    <n v="91212.890821835637"/>
    <n v="2167"/>
    <n v="91212.890821835637"/>
    <n v="2167"/>
    <n v="91212.890821835637"/>
  </r>
  <r>
    <x v="5"/>
    <s v="QILÚ CAFÉ S.A.S."/>
    <s v="PLATOS"/>
    <x v="115"/>
    <x v="115"/>
    <n v="0"/>
    <n v="0"/>
    <n v="0"/>
    <n v="0"/>
    <n v="0"/>
    <n v="0"/>
    <n v="200"/>
    <n v="77000"/>
    <n v="0"/>
    <n v="0"/>
    <n v="0"/>
    <n v="0"/>
    <n v="33"/>
    <n v="12833"/>
    <n v="388.87878787878788"/>
    <n v="43"/>
    <n v="16721.78787878788"/>
    <n v="43"/>
    <n v="16721.78787878788"/>
    <n v="43"/>
    <n v="16721.78787878788"/>
  </r>
  <r>
    <x v="5"/>
    <s v="REFUGIO MDE S.A.S"/>
    <s v="SEEDPACK"/>
    <x v="156"/>
    <x v="156"/>
    <n v="0"/>
    <n v="0"/>
    <n v="0"/>
    <n v="0"/>
    <n v="0"/>
    <n v="0"/>
    <n v="0"/>
    <n v="0"/>
    <n v="300"/>
    <n v="318600"/>
    <n v="0"/>
    <n v="0"/>
    <n v="50"/>
    <n v="53100"/>
    <n v="1062"/>
    <n v="65"/>
    <n v="69030"/>
    <n v="65"/>
    <n v="69030"/>
    <n v="65"/>
    <n v="69030"/>
  </r>
  <r>
    <x v="5"/>
    <s v="REFUGIO MDE S.A.S"/>
    <s v="Salseros"/>
    <x v="108"/>
    <x v="108"/>
    <n v="0"/>
    <n v="0"/>
    <n v="0"/>
    <n v="0"/>
    <n v="0"/>
    <n v="0"/>
    <n v="0"/>
    <n v="0"/>
    <n v="5000"/>
    <n v="192500"/>
    <n v="0"/>
    <n v="0"/>
    <n v="833"/>
    <n v="32083"/>
    <n v="38.515006002400959"/>
    <n v="1083"/>
    <n v="41711.751500600236"/>
    <n v="1083"/>
    <n v="41711.751500600236"/>
    <n v="1083"/>
    <n v="41711.751500600236"/>
  </r>
  <r>
    <x v="5"/>
    <s v="SAL Y PIMIENTA LA BUENA MESA SAS"/>
    <s v="SEEDPACK"/>
    <x v="163"/>
    <x v="163"/>
    <n v="600"/>
    <n v="192000"/>
    <n v="0"/>
    <n v="0"/>
    <n v="0"/>
    <n v="0"/>
    <n v="0"/>
    <n v="0"/>
    <n v="0"/>
    <n v="0"/>
    <n v="0"/>
    <n v="0"/>
    <n v="100"/>
    <n v="32000"/>
    <n v="320"/>
    <n v="130"/>
    <n v="41600"/>
    <n v="130"/>
    <n v="41600"/>
    <n v="130"/>
    <n v="41600"/>
  </r>
  <r>
    <x v="5"/>
    <s v="SALAZAR DUARTE ABOGADOS S.A.S."/>
    <s v="Salseros"/>
    <x v="108"/>
    <x v="108"/>
    <n v="0"/>
    <n v="0"/>
    <n v="0"/>
    <n v="0"/>
    <n v="60000"/>
    <n v="2220000"/>
    <n v="0"/>
    <n v="0"/>
    <n v="0"/>
    <n v="0"/>
    <n v="0"/>
    <n v="0"/>
    <n v="10000"/>
    <n v="370000"/>
    <n v="37"/>
    <n v="13000"/>
    <n v="481000"/>
    <n v="13000"/>
    <n v="481000"/>
    <n v="13000"/>
    <n v="481000"/>
  </r>
  <r>
    <x v="5"/>
    <s v="SAMUEL DAVID CATALÁN VELASQUEZ"/>
    <s v="NO DEFINIDO"/>
    <x v="92"/>
    <x v="92"/>
    <n v="0"/>
    <n v="0"/>
    <n v="0"/>
    <n v="0"/>
    <n v="0"/>
    <n v="0"/>
    <n v="0"/>
    <n v="0"/>
    <n v="0"/>
    <n v="0"/>
    <n v="369"/>
    <n v="228071"/>
    <n v="62"/>
    <n v="38012"/>
    <n v="613.09677419354841"/>
    <n v="80"/>
    <n v="49047.741935483871"/>
    <n v="80"/>
    <n v="49047.741935483871"/>
    <n v="80"/>
    <n v="49047.741935483871"/>
  </r>
  <r>
    <x v="5"/>
    <s v="SANDRA MILENA ARANGO TOBON"/>
    <s v="FLETE VENTAS"/>
    <x v="147"/>
    <x v="147"/>
    <n v="1"/>
    <n v="13000"/>
    <n v="1"/>
    <n v="13000"/>
    <n v="2"/>
    <n v="33000"/>
    <n v="0"/>
    <n v="0"/>
    <n v="0"/>
    <n v="0"/>
    <n v="0"/>
    <n v="0"/>
    <n v="1"/>
    <n v="9833"/>
    <n v="9833"/>
    <n v="1"/>
    <n v="9833"/>
    <n v="1"/>
    <n v="9833"/>
    <n v="1"/>
    <n v="9833"/>
  </r>
  <r>
    <x v="5"/>
    <s v="SANDRA MILENA ARANGO TOBON"/>
    <s v="Salseros"/>
    <x v="108"/>
    <x v="108"/>
    <n v="750"/>
    <n v="28875"/>
    <n v="0"/>
    <n v="0"/>
    <n v="2000"/>
    <n v="77000"/>
    <n v="0"/>
    <n v="0"/>
    <n v="0"/>
    <n v="0"/>
    <n v="0"/>
    <n v="0"/>
    <n v="458"/>
    <n v="17646"/>
    <n v="38.528384279475979"/>
    <n v="596"/>
    <n v="22962.917030567685"/>
    <n v="596"/>
    <n v="22962.917030567685"/>
    <n v="596"/>
    <n v="22962.917030567685"/>
  </r>
  <r>
    <x v="5"/>
    <s v="SANDRA MILENA ARANGO TOBON"/>
    <s v="Salseros"/>
    <x v="110"/>
    <x v="110"/>
    <n v="0"/>
    <n v="0"/>
    <n v="750"/>
    <n v="30000"/>
    <n v="0"/>
    <n v="0"/>
    <n v="0"/>
    <n v="0"/>
    <n v="0"/>
    <n v="0"/>
    <n v="0"/>
    <n v="0"/>
    <n v="125"/>
    <n v="5000"/>
    <n v="40"/>
    <n v="162"/>
    <n v="6480"/>
    <n v="162"/>
    <n v="6480"/>
    <n v="162"/>
    <n v="6480"/>
  </r>
  <r>
    <x v="5"/>
    <s v="SEGUNDA HISTORIA S.A.S."/>
    <s v="BOLSAS"/>
    <x v="141"/>
    <x v="141"/>
    <n v="150"/>
    <n v="135750"/>
    <n v="0"/>
    <n v="0"/>
    <n v="0"/>
    <n v="0"/>
    <n v="0"/>
    <n v="0"/>
    <n v="50"/>
    <n v="45250"/>
    <n v="0"/>
    <n v="0"/>
    <n v="33"/>
    <n v="30167"/>
    <n v="914.15151515151513"/>
    <n v="43"/>
    <n v="39308.515151515152"/>
    <n v="43"/>
    <n v="39308.515151515152"/>
    <n v="43"/>
    <n v="39308.515151515152"/>
  </r>
  <r>
    <x v="5"/>
    <s v="SEGUNDA HISTORIA S.A.S."/>
    <s v="BOLSAS"/>
    <x v="139"/>
    <x v="139"/>
    <n v="150"/>
    <n v="129750"/>
    <n v="0"/>
    <n v="0"/>
    <n v="0"/>
    <n v="0"/>
    <n v="0"/>
    <n v="0"/>
    <n v="150"/>
    <n v="129750"/>
    <n v="0"/>
    <n v="0"/>
    <n v="50"/>
    <n v="43250"/>
    <n v="865"/>
    <n v="65"/>
    <n v="56225"/>
    <n v="65"/>
    <n v="56225"/>
    <n v="65"/>
    <n v="56225"/>
  </r>
  <r>
    <x v="5"/>
    <s v="SEGUNDA HISTORIA S.A.S."/>
    <s v="BOLSAS"/>
    <x v="140"/>
    <x v="140"/>
    <n v="0"/>
    <n v="0"/>
    <n v="0"/>
    <n v="0"/>
    <n v="0"/>
    <n v="0"/>
    <n v="0"/>
    <n v="0"/>
    <n v="150"/>
    <n v="117750"/>
    <n v="0"/>
    <n v="0"/>
    <n v="25"/>
    <n v="19625"/>
    <n v="785"/>
    <n v="32"/>
    <n v="25120"/>
    <n v="32"/>
    <n v="25120"/>
    <n v="32"/>
    <n v="25120"/>
  </r>
  <r>
    <x v="5"/>
    <s v="SERVIR &amp; NUTRIR S.A.S."/>
    <s v="SEEDPACK"/>
    <x v="123"/>
    <x v="123"/>
    <n v="0"/>
    <n v="0"/>
    <n v="0"/>
    <n v="0"/>
    <n v="100"/>
    <n v="78500"/>
    <n v="100"/>
    <n v="78500"/>
    <n v="200"/>
    <n v="157000"/>
    <n v="0"/>
    <n v="0"/>
    <n v="67"/>
    <n v="52333"/>
    <n v="781.08955223880594"/>
    <n v="87"/>
    <n v="67954.79104477611"/>
    <n v="87"/>
    <n v="67954.79104477611"/>
    <n v="87"/>
    <n v="67954.79104477611"/>
  </r>
  <r>
    <x v="5"/>
    <s v="SERVIR &amp; NUTRIR S.A.S."/>
    <s v="SEEDPACK"/>
    <x v="98"/>
    <x v="98"/>
    <n v="0"/>
    <n v="0"/>
    <n v="0"/>
    <n v="0"/>
    <n v="0"/>
    <n v="0"/>
    <n v="100"/>
    <n v="147000"/>
    <n v="100"/>
    <n v="147000"/>
    <n v="0"/>
    <n v="0"/>
    <n v="33"/>
    <n v="49000"/>
    <n v="1484.8484848484848"/>
    <n v="43"/>
    <n v="63848.484848484848"/>
    <n v="43"/>
    <n v="63848.484848484848"/>
    <n v="43"/>
    <n v="63848.484848484848"/>
  </r>
  <r>
    <x v="5"/>
    <s v="SERVIR &amp; NUTRIR S.A.S."/>
    <s v="SEEDPACK"/>
    <x v="100"/>
    <x v="100"/>
    <n v="0"/>
    <n v="0"/>
    <n v="0"/>
    <n v="0"/>
    <n v="100"/>
    <n v="150900"/>
    <n v="0"/>
    <n v="0"/>
    <n v="100"/>
    <n v="150900"/>
    <n v="148"/>
    <n v="222757"/>
    <n v="58"/>
    <n v="87426"/>
    <n v="1507.344827586207"/>
    <n v="75"/>
    <n v="113050.86206896552"/>
    <n v="75"/>
    <n v="113050.86206896552"/>
    <n v="75"/>
    <n v="113050.86206896552"/>
  </r>
  <r>
    <x v="5"/>
    <s v="SILVIA MARCELA CHAPARRO RUEDA"/>
    <s v="BOLSAS"/>
    <x v="150"/>
    <x v="150"/>
    <n v="50"/>
    <n v="34850"/>
    <n v="0"/>
    <n v="0"/>
    <n v="0"/>
    <n v="0"/>
    <n v="0"/>
    <n v="0"/>
    <n v="0"/>
    <n v="0"/>
    <n v="0"/>
    <n v="0"/>
    <n v="8"/>
    <n v="5808"/>
    <n v="726"/>
    <n v="11"/>
    <n v="7986"/>
    <n v="11"/>
    <n v="7986"/>
    <n v="11"/>
    <n v="7986"/>
  </r>
  <r>
    <x v="5"/>
    <s v="SILVIA MARCELA CHAPARRO RUEDA"/>
    <s v="BOLSAS"/>
    <x v="151"/>
    <x v="151"/>
    <n v="50"/>
    <n v="29850"/>
    <n v="0"/>
    <n v="0"/>
    <n v="0"/>
    <n v="0"/>
    <n v="0"/>
    <n v="0"/>
    <n v="0"/>
    <n v="0"/>
    <n v="0"/>
    <n v="0"/>
    <n v="8"/>
    <n v="4975"/>
    <n v="621.875"/>
    <n v="11"/>
    <n v="6840.625"/>
    <n v="11"/>
    <n v="6840.625"/>
    <n v="11"/>
    <n v="6840.625"/>
  </r>
  <r>
    <x v="5"/>
    <s v="SILVIA MARCELA CHAPARRO RUEDA"/>
    <s v="SEEDPACK"/>
    <x v="169"/>
    <x v="169"/>
    <n v="50"/>
    <n v="213250"/>
    <n v="0"/>
    <n v="0"/>
    <n v="0"/>
    <n v="0"/>
    <n v="0"/>
    <n v="0"/>
    <n v="0"/>
    <n v="0"/>
    <n v="0"/>
    <n v="0"/>
    <n v="8"/>
    <n v="35542"/>
    <n v="4442.75"/>
    <n v="11"/>
    <n v="48870.25"/>
    <n v="11"/>
    <n v="48870.25"/>
    <n v="11"/>
    <n v="48870.25"/>
  </r>
  <r>
    <x v="5"/>
    <s v="SILVIA MARCELA CHAPARRO RUEDA"/>
    <s v="SEEDPACK"/>
    <x v="131"/>
    <x v="131"/>
    <n v="50"/>
    <n v="88600"/>
    <n v="0"/>
    <n v="0"/>
    <n v="0"/>
    <n v="0"/>
    <n v="0"/>
    <n v="0"/>
    <n v="0"/>
    <n v="0"/>
    <n v="0"/>
    <n v="0"/>
    <n v="8"/>
    <n v="14767"/>
    <n v="1845.875"/>
    <n v="11"/>
    <n v="20304.625"/>
    <n v="11"/>
    <n v="20304.625"/>
    <n v="11"/>
    <n v="20304.625"/>
  </r>
  <r>
    <x v="5"/>
    <s v="SOCIEDAD BM MONTELIBANO SAS"/>
    <s v="Salseros"/>
    <x v="132"/>
    <x v="132"/>
    <n v="0"/>
    <n v="0"/>
    <n v="5000"/>
    <n v="210000"/>
    <n v="0"/>
    <n v="0"/>
    <n v="0"/>
    <n v="0"/>
    <n v="0"/>
    <n v="0"/>
    <n v="0"/>
    <n v="0"/>
    <n v="833"/>
    <n v="35000"/>
    <n v="42.016806722689076"/>
    <n v="1083"/>
    <n v="45504.201680672268"/>
    <n v="1083"/>
    <n v="45504.201680672268"/>
    <n v="1083"/>
    <n v="45504.201680672268"/>
  </r>
  <r>
    <x v="5"/>
    <s v="TATIANA  BELTRAN"/>
    <s v="SEEDPACK"/>
    <x v="94"/>
    <x v="94"/>
    <n v="0"/>
    <n v="0"/>
    <n v="0"/>
    <n v="0"/>
    <n v="0"/>
    <n v="0"/>
    <n v="500"/>
    <n v="51000"/>
    <n v="0"/>
    <n v="0"/>
    <n v="0"/>
    <n v="0"/>
    <n v="83"/>
    <n v="8500"/>
    <n v="102.40963855421687"/>
    <n v="108"/>
    <n v="11060.240963855422"/>
    <n v="108"/>
    <n v="11060.240963855422"/>
    <n v="108"/>
    <n v="11060.240963855422"/>
  </r>
  <r>
    <x v="5"/>
    <s v="TATIANA JULIETH ALDANA PINZON"/>
    <s v="Salseros"/>
    <x v="110"/>
    <x v="110"/>
    <n v="5000"/>
    <n v="200000"/>
    <n v="0"/>
    <n v="0"/>
    <n v="0"/>
    <n v="0"/>
    <n v="0"/>
    <n v="0"/>
    <n v="0"/>
    <n v="0"/>
    <n v="0"/>
    <n v="0"/>
    <n v="833"/>
    <n v="33333"/>
    <n v="40.015606242497"/>
    <n v="1083"/>
    <n v="43336.901560624254"/>
    <n v="1083"/>
    <n v="43336.901560624254"/>
    <n v="1083"/>
    <n v="43336.901560624254"/>
  </r>
  <r>
    <x v="5"/>
    <s v="TATIANA JULIETH ALDANA PINZON"/>
    <s v="Salseros"/>
    <x v="132"/>
    <x v="132"/>
    <n v="2500"/>
    <n v="107500"/>
    <n v="0"/>
    <n v="0"/>
    <n v="0"/>
    <n v="0"/>
    <n v="0"/>
    <n v="0"/>
    <n v="0"/>
    <n v="0"/>
    <n v="0"/>
    <n v="0"/>
    <n v="417"/>
    <n v="17917"/>
    <n v="42.966426858513188"/>
    <n v="542"/>
    <n v="23287.803357314147"/>
    <n v="542"/>
    <n v="23287.803357314147"/>
    <n v="542"/>
    <n v="23287.803357314147"/>
  </r>
  <r>
    <x v="5"/>
    <s v="TOVARES EVENTOS Y TURISMO S.A.S."/>
    <s v="SEEDPACK"/>
    <x v="99"/>
    <x v="99"/>
    <n v="0"/>
    <n v="0"/>
    <n v="0"/>
    <n v="0"/>
    <n v="0"/>
    <n v="0"/>
    <n v="150"/>
    <n v="315300"/>
    <n v="0"/>
    <n v="0"/>
    <n v="0"/>
    <n v="0"/>
    <n v="25"/>
    <n v="52550"/>
    <n v="2102"/>
    <n v="32"/>
    <n v="67264"/>
    <n v="32"/>
    <n v="67264"/>
    <n v="32"/>
    <n v="67264"/>
  </r>
  <r>
    <x v="5"/>
    <s v="VEKO ORGÁNICOS S.A.S"/>
    <s v="SEEDPACK"/>
    <x v="104"/>
    <x v="104"/>
    <n v="405"/>
    <n v="317115"/>
    <n v="0"/>
    <n v="0"/>
    <n v="0"/>
    <n v="0"/>
    <n v="0"/>
    <n v="0"/>
    <n v="405"/>
    <n v="317115"/>
    <n v="0"/>
    <n v="0"/>
    <n v="135"/>
    <n v="105705"/>
    <n v="783"/>
    <n v="176"/>
    <n v="137808"/>
    <n v="176"/>
    <n v="137808"/>
    <n v="176"/>
    <n v="137808"/>
  </r>
  <r>
    <x v="5"/>
    <s v="VERONA PIZZA BAR RESTAURANTE S.A.S."/>
    <s v="SEEDPACK"/>
    <x v="118"/>
    <x v="118"/>
    <n v="600"/>
    <n v="345000"/>
    <n v="0"/>
    <n v="0"/>
    <n v="0"/>
    <n v="0"/>
    <n v="600"/>
    <n v="345000"/>
    <n v="0"/>
    <n v="0"/>
    <n v="0"/>
    <n v="0"/>
    <n v="200"/>
    <n v="115000"/>
    <n v="575"/>
    <n v="260"/>
    <n v="149500"/>
    <n v="260"/>
    <n v="149500"/>
    <n v="260"/>
    <n v="149500"/>
  </r>
  <r>
    <x v="5"/>
    <s v="VICTOR  RIVERO HERNANDEZ"/>
    <s v="SEEDPACK"/>
    <x v="127"/>
    <x v="127"/>
    <n v="0"/>
    <n v="0"/>
    <n v="1260"/>
    <n v="446040"/>
    <n v="1260"/>
    <n v="446040"/>
    <n v="0"/>
    <n v="0"/>
    <n v="0"/>
    <n v="0"/>
    <n v="1860"/>
    <n v="658440"/>
    <n v="730"/>
    <n v="258420"/>
    <n v="354"/>
    <n v="949"/>
    <n v="335946"/>
    <n v="949"/>
    <n v="335946"/>
    <n v="949"/>
    <n v="335946"/>
  </r>
  <r>
    <x v="5"/>
    <s v="VICTOR  RIVERO HERNANDEZ"/>
    <s v="SEEDPACK"/>
    <x v="113"/>
    <x v="113"/>
    <n v="0"/>
    <n v="0"/>
    <n v="720"/>
    <n v="425520"/>
    <n v="0"/>
    <n v="0"/>
    <n v="0"/>
    <n v="0"/>
    <n v="0"/>
    <n v="0"/>
    <n v="0"/>
    <n v="0"/>
    <n v="120"/>
    <n v="70920"/>
    <n v="591"/>
    <n v="156"/>
    <n v="92196"/>
    <n v="156"/>
    <n v="92196"/>
    <n v="156"/>
    <n v="92196"/>
  </r>
  <r>
    <x v="5"/>
    <s v="VICTOR DANIEL BOTERO ALZATE"/>
    <s v="BOLSAS"/>
    <x v="140"/>
    <x v="140"/>
    <n v="0"/>
    <n v="0"/>
    <n v="0"/>
    <n v="0"/>
    <n v="0"/>
    <n v="0"/>
    <n v="0"/>
    <n v="0"/>
    <n v="50"/>
    <n v="39250"/>
    <n v="0"/>
    <n v="0"/>
    <n v="8"/>
    <n v="6542"/>
    <n v="817.75"/>
    <n v="11"/>
    <n v="8995.25"/>
    <n v="11"/>
    <n v="8995.25"/>
    <n v="11"/>
    <n v="8995.25"/>
  </r>
  <r>
    <x v="5"/>
    <s v="WEIMAR HERNAN RODAS VANEGAS"/>
    <s v="SEEDPACK"/>
    <x v="122"/>
    <x v="122"/>
    <n v="0"/>
    <n v="0"/>
    <n v="0"/>
    <n v="0"/>
    <n v="200"/>
    <n v="175600"/>
    <n v="0"/>
    <n v="0"/>
    <n v="0"/>
    <n v="0"/>
    <n v="0"/>
    <n v="0"/>
    <n v="33"/>
    <n v="29267"/>
    <n v="886.87878787878788"/>
    <n v="43"/>
    <n v="38135.78787878788"/>
    <n v="43"/>
    <n v="38135.78787878788"/>
    <n v="43"/>
    <n v="38135.78787878788"/>
  </r>
  <r>
    <x v="5"/>
    <s v="WEIMAR HERNAN RODAS VANEGAS"/>
    <s v="SEEDPACK"/>
    <x v="98"/>
    <x v="98"/>
    <n v="0"/>
    <n v="0"/>
    <n v="0"/>
    <n v="0"/>
    <n v="120"/>
    <n v="143880"/>
    <n v="0"/>
    <n v="0"/>
    <n v="0"/>
    <n v="0"/>
    <n v="0"/>
    <n v="0"/>
    <n v="20"/>
    <n v="23980"/>
    <n v="1199"/>
    <n v="26"/>
    <n v="31174"/>
    <n v="26"/>
    <n v="31174"/>
    <n v="26"/>
    <n v="31174"/>
  </r>
  <r>
    <x v="5"/>
    <s v="WEIMAR HERNAN RODAS VANEGAS"/>
    <s v="SEEDPACK"/>
    <x v="131"/>
    <x v="131"/>
    <n v="0"/>
    <n v="0"/>
    <n v="0"/>
    <n v="0"/>
    <n v="150"/>
    <n v="255600"/>
    <n v="0"/>
    <n v="0"/>
    <n v="0"/>
    <n v="0"/>
    <n v="0"/>
    <n v="0"/>
    <n v="25"/>
    <n v="42600"/>
    <n v="1704"/>
    <n v="32"/>
    <n v="54528"/>
    <n v="32"/>
    <n v="54528"/>
    <n v="32"/>
    <n v="54528"/>
  </r>
  <r>
    <x v="5"/>
    <s v="WILFREDO LANETE LLANTE"/>
    <s v="SEEDPACK"/>
    <x v="95"/>
    <x v="95"/>
    <n v="0"/>
    <n v="0"/>
    <n v="100"/>
    <n v="145100"/>
    <n v="0"/>
    <n v="0"/>
    <n v="0"/>
    <n v="0"/>
    <n v="0"/>
    <n v="0"/>
    <n v="0"/>
    <n v="0"/>
    <n v="17"/>
    <n v="24183"/>
    <n v="1422.5294117647059"/>
    <n v="22"/>
    <n v="31295.647058823528"/>
    <n v="22"/>
    <n v="31295.647058823528"/>
    <n v="22"/>
    <n v="31295.647058823528"/>
  </r>
  <r>
    <x v="5"/>
    <s v="YAMILE CAICEDO PANDALEZ"/>
    <s v="NO DEFINIDO"/>
    <x v="92"/>
    <x v="92"/>
    <n v="0"/>
    <n v="0"/>
    <n v="0"/>
    <n v="0"/>
    <n v="0"/>
    <n v="0"/>
    <n v="100"/>
    <n v="64200"/>
    <n v="0"/>
    <n v="0"/>
    <n v="0"/>
    <n v="0"/>
    <n v="17"/>
    <n v="10700"/>
    <n v="629.41176470588232"/>
    <n v="22"/>
    <n v="13847.058823529411"/>
    <n v="22"/>
    <n v="13847.058823529411"/>
    <n v="22"/>
    <n v="13847.058823529411"/>
  </r>
  <r>
    <x v="5"/>
    <s v="YURI ASLEDY  GARCIA"/>
    <s v="BOLSAS"/>
    <x v="151"/>
    <x v="151"/>
    <n v="0"/>
    <n v="0"/>
    <n v="0"/>
    <n v="0"/>
    <n v="0"/>
    <n v="0"/>
    <n v="0"/>
    <n v="0"/>
    <n v="0"/>
    <n v="0"/>
    <n v="74"/>
    <n v="44064"/>
    <n v="12"/>
    <n v="7344"/>
    <n v="612"/>
    <n v="16"/>
    <n v="9792"/>
    <n v="16"/>
    <n v="9792"/>
    <n v="16"/>
    <n v="9792"/>
  </r>
  <r>
    <x v="5"/>
    <s v="YURI ASLEDY  GARCIA"/>
    <s v="SEEDPACK"/>
    <x v="118"/>
    <x v="118"/>
    <n v="0"/>
    <n v="0"/>
    <n v="0"/>
    <n v="0"/>
    <n v="0"/>
    <n v="0"/>
    <n v="0"/>
    <n v="0"/>
    <n v="0"/>
    <n v="0"/>
    <n v="44"/>
    <n v="21611"/>
    <n v="7"/>
    <n v="3602"/>
    <n v="514.57142857142856"/>
    <n v="10"/>
    <n v="5145.7142857142853"/>
    <n v="10"/>
    <n v="5145.7142857142853"/>
    <n v="10"/>
    <n v="5145.7142857142853"/>
  </r>
  <r>
    <x v="5"/>
    <s v="YURI ASLEDY  GARCIA"/>
    <s v="SEEDPACK"/>
    <x v="119"/>
    <x v="119"/>
    <n v="0"/>
    <n v="0"/>
    <n v="0"/>
    <n v="0"/>
    <n v="0"/>
    <n v="0"/>
    <n v="0"/>
    <n v="0"/>
    <n v="0"/>
    <n v="0"/>
    <n v="22"/>
    <n v="17050"/>
    <n v="4"/>
    <n v="2842"/>
    <n v="710.5"/>
    <n v="5"/>
    <n v="3552.5"/>
    <n v="5"/>
    <n v="3552.5"/>
    <n v="5"/>
    <n v="3552.5"/>
  </r>
  <r>
    <x v="6"/>
    <s v="ALBA LUCIA ZULUAGA RAMIREZ"/>
    <s v="Microcorrugado"/>
    <x v="170"/>
    <x v="170"/>
    <n v="0"/>
    <n v="0"/>
    <n v="10000"/>
    <n v="16400000"/>
    <n v="20000"/>
    <n v="32600000"/>
    <n v="10000"/>
    <n v="16200000"/>
    <n v="0"/>
    <n v="0"/>
    <n v="0"/>
    <n v="0"/>
    <n v="6667"/>
    <n v="10866667"/>
    <n v="1629.9185540722963"/>
    <n v="8667"/>
    <n v="14126504.108144592"/>
    <n v="8667"/>
    <n v="14126504.108144592"/>
    <n v="8667"/>
    <n v="14126504.108144592"/>
  </r>
  <r>
    <x v="6"/>
    <s v="ALBA LUCIA ZULUAGA RAMIREZ"/>
    <s v="Microcorrugado"/>
    <x v="171"/>
    <x v="171"/>
    <n v="0"/>
    <n v="0"/>
    <n v="0"/>
    <n v="0"/>
    <n v="2400"/>
    <n v="4651200"/>
    <n v="0"/>
    <n v="0"/>
    <n v="0"/>
    <n v="0"/>
    <n v="0"/>
    <n v="0"/>
    <n v="400"/>
    <n v="775200"/>
    <n v="1938"/>
    <n v="520"/>
    <n v="1007760"/>
    <n v="520"/>
    <n v="1007760"/>
    <n v="520"/>
    <n v="1007760"/>
  </r>
  <r>
    <x v="6"/>
    <s v="ALEGRIA LEGRI SAS"/>
    <s v="SEEDPACK"/>
    <x v="100"/>
    <x v="100"/>
    <n v="0"/>
    <n v="0"/>
    <n v="0"/>
    <n v="0"/>
    <n v="300"/>
    <n v="387300"/>
    <n v="0"/>
    <n v="0"/>
    <n v="0"/>
    <n v="0"/>
    <n v="0"/>
    <n v="0"/>
    <n v="50"/>
    <n v="64550"/>
    <n v="1291"/>
    <n v="65"/>
    <n v="83915"/>
    <n v="65"/>
    <n v="83915"/>
    <n v="65"/>
    <n v="83915"/>
  </r>
  <r>
    <x v="6"/>
    <s v="ALEGRIA LEGRI SAS"/>
    <s v="SEEDPACK"/>
    <x v="131"/>
    <x v="131"/>
    <n v="0"/>
    <n v="0"/>
    <n v="100"/>
    <n v="170400"/>
    <n v="0"/>
    <n v="0"/>
    <n v="0"/>
    <n v="0"/>
    <n v="0"/>
    <n v="0"/>
    <n v="0"/>
    <n v="0"/>
    <n v="17"/>
    <n v="28400"/>
    <n v="1670.5882352941176"/>
    <n v="22"/>
    <n v="36752.941176470587"/>
    <n v="22"/>
    <n v="36752.941176470587"/>
    <n v="22"/>
    <n v="36752.941176470587"/>
  </r>
  <r>
    <x v="6"/>
    <s v="ALEGRIA LEGRI SAS"/>
    <s v="Salseros"/>
    <x v="110"/>
    <x v="110"/>
    <n v="0"/>
    <n v="0"/>
    <n v="5000"/>
    <n v="190000"/>
    <n v="0"/>
    <n v="0"/>
    <n v="0"/>
    <n v="0"/>
    <n v="0"/>
    <n v="0"/>
    <n v="0"/>
    <n v="0"/>
    <n v="833"/>
    <n v="31667"/>
    <n v="38.015606242497"/>
    <n v="1083"/>
    <n v="41170.901560624254"/>
    <n v="1083"/>
    <n v="41170.901560624254"/>
    <n v="1083"/>
    <n v="41170.901560624254"/>
  </r>
  <r>
    <x v="6"/>
    <s v="ALFAGRAPHICS S.A.S."/>
    <s v="Microcorrugado"/>
    <x v="172"/>
    <x v="172"/>
    <n v="0"/>
    <n v="0"/>
    <n v="0"/>
    <n v="0"/>
    <n v="2000"/>
    <n v="4094000"/>
    <n v="0"/>
    <n v="0"/>
    <n v="0"/>
    <n v="0"/>
    <n v="0"/>
    <n v="0"/>
    <n v="333"/>
    <n v="682333"/>
    <n v="2049.0480480480483"/>
    <n v="433"/>
    <n v="887237.80480480485"/>
    <n v="433"/>
    <n v="887237.80480480485"/>
    <n v="433"/>
    <n v="887237.80480480485"/>
  </r>
  <r>
    <x v="6"/>
    <s v="ALFAGRAPHICS S.A.S."/>
    <s v="Microcorrugado"/>
    <x v="173"/>
    <x v="173"/>
    <n v="0"/>
    <n v="0"/>
    <n v="0"/>
    <n v="0"/>
    <n v="0"/>
    <n v="0"/>
    <n v="1000"/>
    <n v="4028000"/>
    <n v="0"/>
    <n v="0"/>
    <n v="0"/>
    <n v="0"/>
    <n v="167"/>
    <n v="671333"/>
    <n v="4019.9580838323354"/>
    <n v="217"/>
    <n v="872330.90419161681"/>
    <n v="217"/>
    <n v="872330.90419161681"/>
    <n v="217"/>
    <n v="872330.90419161681"/>
  </r>
  <r>
    <x v="6"/>
    <s v="ALIMENTOS D VIDA SAS"/>
    <s v="BOLSAS"/>
    <x v="138"/>
    <x v="138"/>
    <n v="0"/>
    <n v="0"/>
    <n v="500"/>
    <n v="257000"/>
    <n v="0"/>
    <n v="0"/>
    <n v="500"/>
    <n v="257000"/>
    <n v="0"/>
    <n v="0"/>
    <n v="738"/>
    <n v="379381"/>
    <n v="290"/>
    <n v="148897"/>
    <n v="513.43793103448274"/>
    <n v="377"/>
    <n v="193566.1"/>
    <n v="377"/>
    <n v="193566.1"/>
    <n v="377"/>
    <n v="193566.1"/>
  </r>
  <r>
    <x v="6"/>
    <s v="ALIMENTOS D VIDA SAS"/>
    <s v="SEEDPACK"/>
    <x v="174"/>
    <x v="174"/>
    <n v="144000"/>
    <n v="21024000"/>
    <n v="0"/>
    <n v="0"/>
    <n v="351000"/>
    <n v="51246000"/>
    <n v="0"/>
    <n v="0"/>
    <n v="0"/>
    <n v="0"/>
    <n v="0"/>
    <n v="0"/>
    <n v="82500"/>
    <n v="12045000"/>
    <n v="146"/>
    <n v="107250"/>
    <n v="15658500"/>
    <n v="107250"/>
    <n v="15658500"/>
    <n v="107250"/>
    <n v="15658500"/>
  </r>
  <r>
    <x v="6"/>
    <s v="ANAGRAFICAS LITOGRAFIA SAS"/>
    <s v="Microcorrugado"/>
    <x v="175"/>
    <x v="175"/>
    <n v="0"/>
    <n v="0"/>
    <n v="0"/>
    <n v="0"/>
    <n v="0"/>
    <n v="0"/>
    <n v="0"/>
    <n v="0"/>
    <n v="1600"/>
    <n v="3158400"/>
    <n v="0"/>
    <n v="0"/>
    <n v="267"/>
    <n v="526400"/>
    <n v="1971.5355805243446"/>
    <n v="347"/>
    <n v="684122.84644194762"/>
    <n v="347"/>
    <n v="684122.84644194762"/>
    <n v="347"/>
    <n v="684122.84644194762"/>
  </r>
  <r>
    <x v="6"/>
    <s v="COMERCIALIZADORA DE BIENES Y SERVICIOS JF S.A.S"/>
    <s v="SEEDPACK"/>
    <x v="176"/>
    <x v="176"/>
    <n v="30000"/>
    <n v="23580000"/>
    <n v="0"/>
    <n v="0"/>
    <n v="0"/>
    <n v="0"/>
    <n v="0"/>
    <n v="0"/>
    <n v="0"/>
    <n v="0"/>
    <n v="0"/>
    <n v="0"/>
    <n v="5000"/>
    <n v="3930000"/>
    <n v="786"/>
    <n v="6500"/>
    <n v="5109000"/>
    <n v="6500"/>
    <n v="5109000"/>
    <n v="6500"/>
    <n v="5109000"/>
  </r>
  <r>
    <x v="6"/>
    <s v="COMERCIALIZADORA DE BIENES Y SERVICIOS JF S.A.S"/>
    <s v="SEEDPACK"/>
    <x v="177"/>
    <x v="177"/>
    <n v="50000"/>
    <n v="69750000"/>
    <n v="0"/>
    <n v="0"/>
    <n v="0"/>
    <n v="0"/>
    <n v="0"/>
    <n v="0"/>
    <n v="0"/>
    <n v="0"/>
    <n v="0"/>
    <n v="0"/>
    <n v="8333"/>
    <n v="11625000"/>
    <n v="1395.0558022320893"/>
    <n v="10833"/>
    <n v="15112639.505580222"/>
    <n v="10833"/>
    <n v="15112639.505580222"/>
    <n v="10833"/>
    <n v="15112639.505580222"/>
  </r>
  <r>
    <x v="6"/>
    <s v="COMERCIALIZADORA DE BIENES Y SERVICIOS JF S.A.S"/>
    <s v="SEEDPACK"/>
    <x v="178"/>
    <x v="178"/>
    <n v="15000"/>
    <n v="8655000"/>
    <n v="0"/>
    <n v="0"/>
    <n v="0"/>
    <n v="0"/>
    <n v="0"/>
    <n v="0"/>
    <n v="0"/>
    <n v="0"/>
    <n v="0"/>
    <n v="0"/>
    <n v="2500"/>
    <n v="1442500"/>
    <n v="577"/>
    <n v="3250"/>
    <n v="1875250"/>
    <n v="3250"/>
    <n v="1875250"/>
    <n v="3250"/>
    <n v="1875250"/>
  </r>
  <r>
    <x v="6"/>
    <s v="COMERCIALIZADORA DE BIENES Y SERVICIOS JF S.A.S"/>
    <s v="SEEDPACK"/>
    <x v="179"/>
    <x v="179"/>
    <n v="30000"/>
    <n v="32610000"/>
    <n v="0"/>
    <n v="0"/>
    <n v="0"/>
    <n v="0"/>
    <n v="0"/>
    <n v="0"/>
    <n v="0"/>
    <n v="0"/>
    <n v="0"/>
    <n v="0"/>
    <n v="5000"/>
    <n v="5435000"/>
    <n v="1087"/>
    <n v="6500"/>
    <n v="7065500"/>
    <n v="6500"/>
    <n v="7065500"/>
    <n v="6500"/>
    <n v="7065500"/>
  </r>
  <r>
    <x v="6"/>
    <s v="COMERCIALIZADORA INT CIRCULO SAS"/>
    <s v="Microcorrugado"/>
    <x v="180"/>
    <x v="180"/>
    <n v="0"/>
    <n v="0"/>
    <n v="0"/>
    <n v="0"/>
    <n v="0"/>
    <n v="0"/>
    <n v="0"/>
    <n v="0"/>
    <n v="2400"/>
    <n v="1420800"/>
    <n v="0"/>
    <n v="0"/>
    <n v="400"/>
    <n v="236800"/>
    <n v="592"/>
    <n v="520"/>
    <n v="307840"/>
    <n v="520"/>
    <n v="307840"/>
    <n v="520"/>
    <n v="307840"/>
  </r>
  <r>
    <x v="6"/>
    <s v="COMERCIALIZADORA INT CIRCULO SAS"/>
    <s v="Microcorrugado"/>
    <x v="181"/>
    <x v="181"/>
    <n v="0"/>
    <n v="0"/>
    <n v="0"/>
    <n v="0"/>
    <n v="0"/>
    <n v="0"/>
    <n v="0"/>
    <n v="0"/>
    <n v="2400"/>
    <n v="1562400"/>
    <n v="0"/>
    <n v="0"/>
    <n v="400"/>
    <n v="260400"/>
    <n v="651"/>
    <n v="520"/>
    <n v="338520"/>
    <n v="520"/>
    <n v="338520"/>
    <n v="520"/>
    <n v="338520"/>
  </r>
  <r>
    <x v="6"/>
    <s v="COMERCIALIZADORA INT CIRCULO SAS"/>
    <s v="Microcorrugado"/>
    <x v="182"/>
    <x v="182"/>
    <n v="0"/>
    <n v="0"/>
    <n v="0"/>
    <n v="0"/>
    <n v="0"/>
    <n v="0"/>
    <n v="5300"/>
    <n v="5925400"/>
    <n v="0"/>
    <n v="0"/>
    <n v="0"/>
    <n v="0"/>
    <n v="883"/>
    <n v="987567"/>
    <n v="1118.4224235560589"/>
    <n v="1148"/>
    <n v="1283948.9422423556"/>
    <n v="1148"/>
    <n v="1283948.9422423556"/>
    <n v="1148"/>
    <n v="1283948.9422423556"/>
  </r>
  <r>
    <x v="6"/>
    <s v="COMERCIALIZADORA INT CIRCULO SAS"/>
    <s v="Microcorrugado"/>
    <x v="43"/>
    <x v="43"/>
    <n v="1200"/>
    <n v="1522800"/>
    <n v="0"/>
    <n v="0"/>
    <n v="0"/>
    <n v="0"/>
    <n v="0"/>
    <n v="0"/>
    <n v="0"/>
    <n v="0"/>
    <n v="0"/>
    <n v="0"/>
    <n v="200"/>
    <n v="253800"/>
    <n v="1269"/>
    <n v="260"/>
    <n v="329940"/>
    <n v="260"/>
    <n v="329940"/>
    <n v="260"/>
    <n v="329940"/>
  </r>
  <r>
    <x v="6"/>
    <s v="COMERCIALIZADORA INT CIRCULO SAS"/>
    <s v="Microcorrugado"/>
    <x v="183"/>
    <x v="183"/>
    <n v="0"/>
    <n v="0"/>
    <n v="0"/>
    <n v="0"/>
    <n v="0"/>
    <n v="0"/>
    <n v="5300"/>
    <n v="3291300"/>
    <n v="2400"/>
    <n v="1629600"/>
    <n v="0"/>
    <n v="0"/>
    <n v="1283"/>
    <n v="820150"/>
    <n v="639.24395946999221"/>
    <n v="1668"/>
    <n v="1066258.924395947"/>
    <n v="1668"/>
    <n v="1066258.924395947"/>
    <n v="1668"/>
    <n v="1066258.924395947"/>
  </r>
  <r>
    <x v="6"/>
    <s v="COMERCIALIZADORA LUZ ELENA MEJIA SAS"/>
    <s v="SEEDPACK"/>
    <x v="184"/>
    <x v="184"/>
    <n v="0"/>
    <n v="0"/>
    <n v="0"/>
    <n v="0"/>
    <n v="0"/>
    <n v="0"/>
    <n v="660"/>
    <n v="310002"/>
    <n v="0"/>
    <n v="0"/>
    <n v="974"/>
    <n v="457622"/>
    <n v="272"/>
    <n v="127937"/>
    <n v="470.35661764705884"/>
    <n v="354"/>
    <n v="166506.24264705883"/>
    <n v="354"/>
    <n v="166506.24264705883"/>
    <n v="354"/>
    <n v="166506.24264705883"/>
  </r>
  <r>
    <x v="6"/>
    <s v="COMERCIALIZADORA TORREALTA S.A.S."/>
    <s v="SEEDPACK"/>
    <x v="185"/>
    <x v="185"/>
    <n v="2000"/>
    <n v="6613000"/>
    <n v="0"/>
    <n v="0"/>
    <n v="0"/>
    <n v="0"/>
    <n v="0"/>
    <n v="0"/>
    <n v="0"/>
    <n v="0"/>
    <n v="0"/>
    <n v="0"/>
    <n v="333"/>
    <n v="1102167"/>
    <n v="3309.8108108108108"/>
    <n v="433"/>
    <n v="1433148.0810810812"/>
    <n v="433"/>
    <n v="1433148.0810810812"/>
    <n v="433"/>
    <n v="1433148.0810810812"/>
  </r>
  <r>
    <x v="6"/>
    <s v="ESPECIAL IMPRESORES S.A.S."/>
    <s v="Microcorrugado"/>
    <x v="186"/>
    <x v="186"/>
    <n v="0"/>
    <n v="0"/>
    <n v="0"/>
    <n v="0"/>
    <n v="0"/>
    <n v="0"/>
    <n v="0"/>
    <n v="0"/>
    <n v="2400"/>
    <n v="1447200"/>
    <n v="0"/>
    <n v="0"/>
    <n v="400"/>
    <n v="241200"/>
    <n v="603"/>
    <n v="520"/>
    <n v="313560"/>
    <n v="520"/>
    <n v="313560"/>
    <n v="520"/>
    <n v="313560"/>
  </r>
  <r>
    <x v="6"/>
    <s v="ESPECIAL IMPRESORES S.A.S."/>
    <s v="Microcorrugado"/>
    <x v="43"/>
    <x v="43"/>
    <n v="0"/>
    <n v="0"/>
    <n v="0"/>
    <n v="0"/>
    <n v="0"/>
    <n v="0"/>
    <n v="0"/>
    <n v="0"/>
    <n v="0"/>
    <n v="0"/>
    <n v="1476"/>
    <n v="1724190"/>
    <n v="246"/>
    <n v="287365"/>
    <n v="1168.1504065040651"/>
    <n v="320"/>
    <n v="373808.13008130086"/>
    <n v="320"/>
    <n v="373808.13008130086"/>
    <n v="320"/>
    <n v="373808.13008130086"/>
  </r>
  <r>
    <x v="6"/>
    <s v="ESPECIAL IMPRESORES S.A.S."/>
    <s v="SERVICIO"/>
    <x v="7"/>
    <x v="7"/>
    <n v="1304"/>
    <n v="1069280"/>
    <n v="414"/>
    <n v="295200"/>
    <n v="0"/>
    <n v="0"/>
    <n v="0"/>
    <n v="0"/>
    <n v="0"/>
    <n v="0"/>
    <n v="1215"/>
    <n v="909964"/>
    <n v="489"/>
    <n v="379074"/>
    <n v="775.20245398773011"/>
    <n v="635"/>
    <n v="492253.55828220863"/>
    <n v="635"/>
    <n v="492253.55828220863"/>
    <n v="635"/>
    <n v="492253.55828220863"/>
  </r>
  <r>
    <x v="6"/>
    <s v="ETIEMPAQUES SAS"/>
    <s v="Microcorrugado"/>
    <x v="187"/>
    <x v="187"/>
    <n v="1000"/>
    <n v="1732000"/>
    <n v="0"/>
    <n v="0"/>
    <n v="0"/>
    <n v="0"/>
    <n v="0"/>
    <n v="0"/>
    <n v="0"/>
    <n v="0"/>
    <n v="0"/>
    <n v="0"/>
    <n v="167"/>
    <n v="288667"/>
    <n v="1728.5449101796407"/>
    <n v="217"/>
    <n v="375094.24550898204"/>
    <n v="217"/>
    <n v="375094.24550898204"/>
    <n v="217"/>
    <n v="375094.24550898204"/>
  </r>
  <r>
    <x v="6"/>
    <s v="FABIO ESPERIDION LOPEZ INSUASTI"/>
    <s v="Microcorrugado"/>
    <x v="188"/>
    <x v="188"/>
    <n v="0"/>
    <n v="0"/>
    <n v="0"/>
    <n v="0"/>
    <n v="0"/>
    <n v="0"/>
    <n v="0"/>
    <n v="0"/>
    <n v="1000"/>
    <n v="1361000"/>
    <n v="0"/>
    <n v="0"/>
    <n v="167"/>
    <n v="226833"/>
    <n v="1358.2814371257484"/>
    <n v="217"/>
    <n v="294747.07185628742"/>
    <n v="217"/>
    <n v="294747.07185628742"/>
    <n v="217"/>
    <n v="294747.07185628742"/>
  </r>
  <r>
    <x v="6"/>
    <s v="FOTOMONTAJES SAS"/>
    <s v="Microcorrugado"/>
    <x v="189"/>
    <x v="189"/>
    <n v="0"/>
    <n v="0"/>
    <n v="0"/>
    <n v="0"/>
    <n v="0"/>
    <n v="0"/>
    <n v="1439"/>
    <n v="1664923"/>
    <n v="0"/>
    <n v="0"/>
    <n v="0"/>
    <n v="0"/>
    <n v="240"/>
    <n v="277487"/>
    <n v="1156.1958333333334"/>
    <n v="312"/>
    <n v="360733.10000000003"/>
    <n v="312"/>
    <n v="360733.10000000003"/>
    <n v="312"/>
    <n v="360733.10000000003"/>
  </r>
  <r>
    <x v="6"/>
    <s v="FOTOMONTAJES SAS"/>
    <s v="SEEDPACK"/>
    <x v="100"/>
    <x v="100"/>
    <n v="0"/>
    <n v="0"/>
    <n v="30"/>
    <n v="40290"/>
    <n v="0"/>
    <n v="0"/>
    <n v="0"/>
    <n v="0"/>
    <n v="40"/>
    <n v="53720"/>
    <n v="0"/>
    <n v="0"/>
    <n v="12"/>
    <n v="15668"/>
    <n v="1305.6666666666667"/>
    <n v="15"/>
    <n v="19585"/>
    <n v="15"/>
    <n v="19585"/>
    <n v="15"/>
    <n v="19585"/>
  </r>
  <r>
    <x v="6"/>
    <s v="FOTOMONTAJES SAS"/>
    <s v="SEEDPACK"/>
    <x v="118"/>
    <x v="118"/>
    <n v="0"/>
    <n v="0"/>
    <n v="30"/>
    <n v="14640"/>
    <n v="0"/>
    <n v="0"/>
    <n v="0"/>
    <n v="0"/>
    <n v="45"/>
    <n v="21960"/>
    <n v="0"/>
    <n v="0"/>
    <n v="12"/>
    <n v="6100"/>
    <n v="508.33333333333331"/>
    <n v="16"/>
    <n v="8133.333333333333"/>
    <n v="16"/>
    <n v="8133.333333333333"/>
    <n v="16"/>
    <n v="8133.333333333333"/>
  </r>
  <r>
    <x v="6"/>
    <s v="GIRARTE INDUSTRIA GRAFICA SAS"/>
    <s v="Microcorrugado"/>
    <x v="190"/>
    <x v="190"/>
    <n v="0"/>
    <n v="0"/>
    <n v="0"/>
    <n v="0"/>
    <n v="0"/>
    <n v="0"/>
    <n v="2000"/>
    <n v="950000"/>
    <n v="0"/>
    <n v="0"/>
    <n v="0"/>
    <n v="0"/>
    <n v="333"/>
    <n v="158333"/>
    <n v="475.47447447447445"/>
    <n v="433"/>
    <n v="205880.44744744743"/>
    <n v="433"/>
    <n v="205880.44744744743"/>
    <n v="433"/>
    <n v="205880.44744744743"/>
  </r>
  <r>
    <x v="6"/>
    <s v="GIRARTE INDUSTRIA GRAFICA SAS"/>
    <s v="Microcorrugado"/>
    <x v="191"/>
    <x v="191"/>
    <n v="15000"/>
    <n v="5010000"/>
    <n v="6000"/>
    <n v="2160000"/>
    <n v="12000"/>
    <n v="4176000"/>
    <n v="12000"/>
    <n v="4176000"/>
    <n v="0"/>
    <n v="0"/>
    <n v="0"/>
    <n v="0"/>
    <n v="7500"/>
    <n v="2587000"/>
    <n v="344.93333333333334"/>
    <n v="9750"/>
    <n v="3363100"/>
    <n v="9750"/>
    <n v="3363100"/>
    <n v="9750"/>
    <n v="3363100"/>
  </r>
  <r>
    <x v="6"/>
    <s v="GIRARTE INDUSTRIA GRAFICA SAS"/>
    <s v="Microcorrugado"/>
    <x v="192"/>
    <x v="192"/>
    <n v="5000"/>
    <n v="1880000"/>
    <n v="0"/>
    <n v="0"/>
    <n v="3000"/>
    <n v="1092000"/>
    <n v="0"/>
    <n v="0"/>
    <n v="3000"/>
    <n v="1092000"/>
    <n v="0"/>
    <n v="0"/>
    <n v="1833"/>
    <n v="677333"/>
    <n v="369.52154937261321"/>
    <n v="2383"/>
    <n v="880569.85215493722"/>
    <n v="2383"/>
    <n v="880569.85215493722"/>
    <n v="2383"/>
    <n v="880569.85215493722"/>
  </r>
  <r>
    <x v="6"/>
    <s v="GRIFFITH FOODS SAS"/>
    <s v="SEEDPACK"/>
    <x v="153"/>
    <x v="153"/>
    <n v="0"/>
    <n v="0"/>
    <n v="0"/>
    <n v="0"/>
    <n v="1080"/>
    <n v="374760"/>
    <n v="0"/>
    <n v="0"/>
    <n v="0"/>
    <n v="0"/>
    <n v="0"/>
    <n v="0"/>
    <n v="180"/>
    <n v="62460"/>
    <n v="347"/>
    <n v="234"/>
    <n v="81198"/>
    <n v="234"/>
    <n v="81198"/>
    <n v="234"/>
    <n v="81198"/>
  </r>
  <r>
    <x v="6"/>
    <s v="GRIFFITH FOODS SAS"/>
    <s v="SEEDPACK"/>
    <x v="166"/>
    <x v="166"/>
    <n v="0"/>
    <n v="0"/>
    <n v="0"/>
    <n v="0"/>
    <n v="600"/>
    <n v="268200"/>
    <n v="0"/>
    <n v="0"/>
    <n v="0"/>
    <n v="0"/>
    <n v="0"/>
    <n v="0"/>
    <n v="100"/>
    <n v="44700"/>
    <n v="447"/>
    <n v="130"/>
    <n v="58110"/>
    <n v="130"/>
    <n v="58110"/>
    <n v="130"/>
    <n v="58110"/>
  </r>
  <r>
    <x v="6"/>
    <s v="GRIFFITH FOODS SAS"/>
    <s v="SEEDPACK"/>
    <x v="184"/>
    <x v="184"/>
    <n v="0"/>
    <n v="0"/>
    <n v="0"/>
    <n v="0"/>
    <n v="660"/>
    <n v="326700"/>
    <n v="0"/>
    <n v="0"/>
    <n v="0"/>
    <n v="0"/>
    <n v="0"/>
    <n v="0"/>
    <n v="110"/>
    <n v="54450"/>
    <n v="495"/>
    <n v="143"/>
    <n v="70785"/>
    <n v="143"/>
    <n v="70785"/>
    <n v="143"/>
    <n v="70785"/>
  </r>
  <r>
    <x v="6"/>
    <s v="HIDROCULTIVOS VIDALIA SAS"/>
    <s v="SEEDPACK"/>
    <x v="111"/>
    <x v="111"/>
    <n v="6200"/>
    <n v="3013200"/>
    <n v="0"/>
    <n v="0"/>
    <n v="2480"/>
    <n v="1205280"/>
    <n v="4960"/>
    <n v="2472560"/>
    <n v="2480"/>
    <n v="1267280"/>
    <n v="3661"/>
    <n v="1870747"/>
    <n v="3296"/>
    <n v="1638178"/>
    <n v="497.02002427184465"/>
    <n v="4286"/>
    <n v="2130227.8240291262"/>
    <n v="4286"/>
    <n v="2130227.8240291262"/>
    <n v="4286"/>
    <n v="2130227.8240291262"/>
  </r>
  <r>
    <x v="6"/>
    <s v="IKSO SAS"/>
    <s v="SEEDPACK"/>
    <x v="102"/>
    <x v="102"/>
    <n v="0"/>
    <n v="0"/>
    <n v="5400"/>
    <n v="3418200"/>
    <n v="0"/>
    <n v="0"/>
    <n v="5400"/>
    <n v="3418200"/>
    <n v="0"/>
    <n v="0"/>
    <n v="0"/>
    <n v="0"/>
    <n v="1800"/>
    <n v="1139400"/>
    <n v="633"/>
    <n v="2340"/>
    <n v="1481220"/>
    <n v="2340"/>
    <n v="1481220"/>
    <n v="2340"/>
    <n v="1481220"/>
  </r>
  <r>
    <x v="6"/>
    <s v="IKSO SAS"/>
    <s v="Salseros"/>
    <x v="108"/>
    <x v="108"/>
    <n v="25000"/>
    <n v="977000"/>
    <n v="0"/>
    <n v="0"/>
    <n v="50000"/>
    <n v="2050000"/>
    <n v="0"/>
    <n v="0"/>
    <n v="130000"/>
    <n v="4970000"/>
    <n v="29524"/>
    <n v="1139619"/>
    <n v="39087"/>
    <n v="1522770"/>
    <n v="38.958477243073148"/>
    <n v="50813"/>
    <n v="1979597.1041522759"/>
    <n v="50813"/>
    <n v="1979597.1041522759"/>
    <n v="50813"/>
    <n v="1979597.1041522759"/>
  </r>
  <r>
    <x v="6"/>
    <s v="IKSO SAS"/>
    <s v="Salseros"/>
    <x v="110"/>
    <x v="110"/>
    <n v="0"/>
    <n v="0"/>
    <n v="15000"/>
    <n v="543000"/>
    <n v="0"/>
    <n v="0"/>
    <n v="0"/>
    <n v="0"/>
    <n v="0"/>
    <n v="0"/>
    <n v="0"/>
    <n v="0"/>
    <n v="2500"/>
    <n v="90500"/>
    <n v="36.200000000000003"/>
    <n v="3250"/>
    <n v="117650.00000000001"/>
    <n v="3250"/>
    <n v="117650.00000000001"/>
    <n v="3250"/>
    <n v="117650.00000000001"/>
  </r>
  <r>
    <x v="6"/>
    <s v="IKSO SAS"/>
    <s v="Salseros"/>
    <x v="132"/>
    <x v="132"/>
    <n v="0"/>
    <n v="0"/>
    <n v="0"/>
    <n v="0"/>
    <n v="0"/>
    <n v="0"/>
    <n v="0"/>
    <n v="0"/>
    <n v="10000"/>
    <n v="511000"/>
    <n v="0"/>
    <n v="0"/>
    <n v="1667"/>
    <n v="85167"/>
    <n v="51.089982003599282"/>
    <n v="2167"/>
    <n v="110711.99100179964"/>
    <n v="2167"/>
    <n v="110711.99100179964"/>
    <n v="2167"/>
    <n v="110711.99100179964"/>
  </r>
  <r>
    <x v="6"/>
    <s v="ILEGALLE S.A.S"/>
    <s v="Microcorrugado"/>
    <x v="193"/>
    <x v="193"/>
    <n v="50040"/>
    <n v="3903120"/>
    <n v="0"/>
    <n v="0"/>
    <n v="0"/>
    <n v="0"/>
    <n v="0"/>
    <n v="0"/>
    <n v="0"/>
    <n v="0"/>
    <n v="0"/>
    <n v="0"/>
    <n v="8340"/>
    <n v="650520"/>
    <n v="78"/>
    <n v="10842"/>
    <n v="845676"/>
    <n v="10842"/>
    <n v="845676"/>
    <n v="10842"/>
    <n v="845676"/>
  </r>
  <r>
    <x v="6"/>
    <s v="IMPRESOS EL DIA S.A.S."/>
    <s v="SERVICIO"/>
    <x v="194"/>
    <x v="194"/>
    <n v="893"/>
    <n v="870675"/>
    <n v="0"/>
    <n v="0"/>
    <n v="3859"/>
    <n v="3859000"/>
    <n v="0"/>
    <n v="0"/>
    <n v="0"/>
    <n v="0"/>
    <n v="0"/>
    <n v="0"/>
    <n v="792"/>
    <n v="788279"/>
    <n v="995.30176767676767"/>
    <n v="1030"/>
    <n v="1025160.8207070706"/>
    <n v="1030"/>
    <n v="1025160.8207070706"/>
    <n v="1030"/>
    <n v="1025160.8207070706"/>
  </r>
  <r>
    <x v="6"/>
    <s v="INGENIERIA GRAFICA SAS"/>
    <s v="Microcorrugado"/>
    <x v="195"/>
    <x v="195"/>
    <n v="0"/>
    <n v="0"/>
    <n v="0"/>
    <n v="0"/>
    <n v="0"/>
    <n v="0"/>
    <n v="0"/>
    <n v="0"/>
    <n v="0"/>
    <n v="0"/>
    <n v="23619"/>
    <n v="11833143"/>
    <n v="3937"/>
    <n v="1972190"/>
    <n v="500.93726187452376"/>
    <n v="5117"/>
    <n v="2563295.9690119382"/>
    <n v="5117"/>
    <n v="2563295.9690119382"/>
    <n v="5117"/>
    <n v="2563295.9690119382"/>
  </r>
  <r>
    <x v="6"/>
    <s v="INGENIERIA GRAFICA SAS"/>
    <s v="Microcorrugado"/>
    <x v="196"/>
    <x v="196"/>
    <n v="0"/>
    <n v="0"/>
    <n v="0"/>
    <n v="0"/>
    <n v="0"/>
    <n v="0"/>
    <n v="14000"/>
    <n v="7868000"/>
    <n v="14000"/>
    <n v="7868000"/>
    <n v="0"/>
    <n v="0"/>
    <n v="4667"/>
    <n v="2622667"/>
    <n v="561.95993143346902"/>
    <n v="6067"/>
    <n v="3409410.9040068565"/>
    <n v="6067"/>
    <n v="3409410.9040068565"/>
    <n v="6067"/>
    <n v="3409410.9040068565"/>
  </r>
  <r>
    <x v="6"/>
    <s v="INSUMOS Y TERMINADOS GRAFICOS S.A.S."/>
    <s v="Microcorrugado"/>
    <x v="197"/>
    <x v="197"/>
    <n v="0"/>
    <n v="0"/>
    <n v="0"/>
    <n v="0"/>
    <n v="0"/>
    <n v="0"/>
    <n v="0"/>
    <n v="0"/>
    <n v="0"/>
    <n v="0"/>
    <n v="29524"/>
    <n v="16592381"/>
    <n v="4921"/>
    <n v="2765397"/>
    <n v="561.9583418004471"/>
    <n v="6397"/>
    <n v="3594847.51249746"/>
    <n v="6397"/>
    <n v="3594847.51249746"/>
    <n v="6397"/>
    <n v="3594847.51249746"/>
  </r>
  <r>
    <x v="6"/>
    <s v="KREAT-UP SAS"/>
    <s v="Microcorrugado"/>
    <x v="198"/>
    <x v="198"/>
    <n v="0"/>
    <n v="0"/>
    <n v="0"/>
    <n v="0"/>
    <n v="0"/>
    <n v="0"/>
    <n v="1200"/>
    <n v="2268000"/>
    <n v="0"/>
    <n v="0"/>
    <n v="0"/>
    <n v="0"/>
    <n v="200"/>
    <n v="378000"/>
    <n v="1890"/>
    <n v="260"/>
    <n v="491400"/>
    <n v="260"/>
    <n v="491400"/>
    <n v="260"/>
    <n v="491400"/>
  </r>
  <r>
    <x v="6"/>
    <s v="KREAT-UP SAS"/>
    <s v="Microcorrugado"/>
    <x v="199"/>
    <x v="199"/>
    <n v="3000"/>
    <n v="5298000"/>
    <n v="0"/>
    <n v="0"/>
    <n v="0"/>
    <n v="0"/>
    <n v="0"/>
    <n v="0"/>
    <n v="0"/>
    <n v="0"/>
    <n v="0"/>
    <n v="0"/>
    <n v="500"/>
    <n v="883000"/>
    <n v="1766"/>
    <n v="650"/>
    <n v="1147900"/>
    <n v="650"/>
    <n v="1147900"/>
    <n v="650"/>
    <n v="1147900"/>
  </r>
  <r>
    <x v="6"/>
    <s v="KREAT-UP SAS"/>
    <s v="SERVICIO"/>
    <x v="194"/>
    <x v="194"/>
    <n v="0"/>
    <n v="0"/>
    <n v="0"/>
    <n v="0"/>
    <n v="0"/>
    <n v="0"/>
    <n v="700"/>
    <n v="730100"/>
    <n v="0"/>
    <n v="0"/>
    <n v="0"/>
    <n v="0"/>
    <n v="117"/>
    <n v="121683"/>
    <n v="1040.0256410256411"/>
    <n v="152"/>
    <n v="158083.89743589744"/>
    <n v="152"/>
    <n v="158083.89743589744"/>
    <n v="152"/>
    <n v="158083.89743589744"/>
  </r>
  <r>
    <x v="6"/>
    <s v="LABBOX SAS"/>
    <s v="Microcorrugado"/>
    <x v="200"/>
    <x v="200"/>
    <n v="0"/>
    <n v="0"/>
    <n v="0"/>
    <n v="0"/>
    <n v="0"/>
    <n v="0"/>
    <n v="6300"/>
    <n v="5203800"/>
    <n v="0"/>
    <n v="0"/>
    <n v="0"/>
    <n v="0"/>
    <n v="1050"/>
    <n v="867300"/>
    <n v="826"/>
    <n v="1365"/>
    <n v="1127490"/>
    <n v="1365"/>
    <n v="1127490"/>
    <n v="1365"/>
    <n v="1127490"/>
  </r>
  <r>
    <x v="6"/>
    <s v="LABBOX SAS"/>
    <s v="Microcorrugado"/>
    <x v="201"/>
    <x v="201"/>
    <n v="0"/>
    <n v="0"/>
    <n v="0"/>
    <n v="0"/>
    <n v="0"/>
    <n v="0"/>
    <n v="0"/>
    <n v="0"/>
    <n v="0"/>
    <n v="0"/>
    <n v="6052"/>
    <n v="4708752"/>
    <n v="1009"/>
    <n v="784792"/>
    <n v="777.79187314172452"/>
    <n v="1311"/>
    <n v="1019685.1456888008"/>
    <n v="1311"/>
    <n v="1019685.1456888008"/>
    <n v="1311"/>
    <n v="1019685.1456888008"/>
  </r>
  <r>
    <x v="6"/>
    <s v="LABBOX SAS"/>
    <s v="Microcorrugado"/>
    <x v="202"/>
    <x v="202"/>
    <n v="0"/>
    <n v="0"/>
    <n v="0"/>
    <n v="0"/>
    <n v="0"/>
    <n v="0"/>
    <n v="29000"/>
    <n v="24998000"/>
    <n v="0"/>
    <n v="0"/>
    <n v="1624"/>
    <n v="1440319"/>
    <n v="5104"/>
    <n v="4406387"/>
    <n v="863.32033699059559"/>
    <n v="6635"/>
    <n v="5728130.4359326018"/>
    <n v="6635"/>
    <n v="5728130.4359326018"/>
    <n v="6635"/>
    <n v="5728130.4359326018"/>
  </r>
  <r>
    <x v="6"/>
    <s v="LABBOX SAS"/>
    <s v="Microcorrugado"/>
    <x v="203"/>
    <x v="203"/>
    <n v="0"/>
    <n v="0"/>
    <n v="0"/>
    <n v="0"/>
    <n v="0"/>
    <n v="0"/>
    <n v="6000"/>
    <n v="4908000"/>
    <n v="0"/>
    <n v="0"/>
    <n v="0"/>
    <n v="0"/>
    <n v="1000"/>
    <n v="818000"/>
    <n v="818"/>
    <n v="1300"/>
    <n v="1063400"/>
    <n v="1300"/>
    <n v="1063400"/>
    <n v="1300"/>
    <n v="1063400"/>
  </r>
  <r>
    <x v="6"/>
    <s v="LABBOX SAS"/>
    <s v="Microcorrugado"/>
    <x v="204"/>
    <x v="204"/>
    <n v="0"/>
    <n v="0"/>
    <n v="0"/>
    <n v="0"/>
    <n v="0"/>
    <n v="0"/>
    <n v="0"/>
    <n v="0"/>
    <n v="0"/>
    <n v="0"/>
    <n v="2214"/>
    <n v="1164714"/>
    <n v="369"/>
    <n v="194119"/>
    <n v="526.06775067750675"/>
    <n v="480"/>
    <n v="252512.52032520325"/>
    <n v="480"/>
    <n v="252512.52032520325"/>
    <n v="480"/>
    <n v="252512.52032520325"/>
  </r>
  <r>
    <x v="6"/>
    <s v="LABBOX SAS"/>
    <s v="Microcorrugado"/>
    <x v="205"/>
    <x v="205"/>
    <n v="0"/>
    <n v="0"/>
    <n v="0"/>
    <n v="0"/>
    <n v="0"/>
    <n v="0"/>
    <n v="0"/>
    <n v="0"/>
    <n v="0"/>
    <n v="0"/>
    <n v="11071"/>
    <n v="12765357"/>
    <n v="1845"/>
    <n v="2127560"/>
    <n v="1153.1490514905149"/>
    <n v="2399"/>
    <n v="2766404.5745257451"/>
    <n v="2399"/>
    <n v="2766404.5745257451"/>
    <n v="2399"/>
    <n v="2766404.5745257451"/>
  </r>
  <r>
    <x v="6"/>
    <s v="LABBOX SAS"/>
    <s v="Microcorrugado"/>
    <x v="206"/>
    <x v="206"/>
    <n v="0"/>
    <n v="0"/>
    <n v="0"/>
    <n v="0"/>
    <n v="0"/>
    <n v="0"/>
    <n v="0"/>
    <n v="0"/>
    <n v="0"/>
    <n v="0"/>
    <n v="5610"/>
    <n v="4712000"/>
    <n v="935"/>
    <n v="785333"/>
    <n v="839.92834224598926"/>
    <n v="1215"/>
    <n v="1020512.9358288769"/>
    <n v="1215"/>
    <n v="1020512.9358288769"/>
    <n v="1215"/>
    <n v="1020512.9358288769"/>
  </r>
  <r>
    <x v="6"/>
    <s v="LABBOX SAS"/>
    <s v="Microcorrugado"/>
    <x v="207"/>
    <x v="207"/>
    <n v="0"/>
    <n v="0"/>
    <n v="0"/>
    <n v="0"/>
    <n v="0"/>
    <n v="0"/>
    <n v="14500"/>
    <n v="8859500"/>
    <n v="0"/>
    <n v="0"/>
    <n v="0"/>
    <n v="0"/>
    <n v="2417"/>
    <n v="1476583"/>
    <n v="610.91559784857259"/>
    <n v="3142"/>
    <n v="1919496.8084402152"/>
    <n v="3142"/>
    <n v="1919496.8084402152"/>
    <n v="3142"/>
    <n v="1919496.8084402152"/>
  </r>
  <r>
    <x v="6"/>
    <s v="MARQUILLAS S.A.S"/>
    <s v="Microcorrugado"/>
    <x v="199"/>
    <x v="199"/>
    <n v="5900"/>
    <n v="10502000"/>
    <n v="4200"/>
    <n v="7476000"/>
    <n v="2100"/>
    <n v="3738000"/>
    <n v="4950"/>
    <n v="9261450"/>
    <n v="5000"/>
    <n v="9355000"/>
    <n v="0"/>
    <n v="0"/>
    <n v="3692"/>
    <n v="6722075"/>
    <n v="1820.7137053087758"/>
    <n v="4799"/>
    <n v="8737605.0717768148"/>
    <n v="4799"/>
    <n v="8737605.0717768148"/>
    <n v="4799"/>
    <n v="8737605.0717768148"/>
  </r>
  <r>
    <x v="6"/>
    <s v="MARTA LUCIA PINEDA DUQUE"/>
    <s v="SEEDPACK"/>
    <x v="208"/>
    <x v="208"/>
    <n v="0"/>
    <n v="0"/>
    <n v="0"/>
    <n v="0"/>
    <n v="4500"/>
    <n v="2250000"/>
    <n v="0"/>
    <n v="0"/>
    <n v="0"/>
    <n v="0"/>
    <n v="0"/>
    <n v="0"/>
    <n v="750"/>
    <n v="375000"/>
    <n v="500"/>
    <n v="975"/>
    <n v="487500"/>
    <n v="975"/>
    <n v="487500"/>
    <n v="975"/>
    <n v="487500"/>
  </r>
  <r>
    <x v="6"/>
    <s v="MARTA LUCIA PINEDA DUQUE"/>
    <s v="SEEDPACK"/>
    <x v="209"/>
    <x v="209"/>
    <n v="0"/>
    <n v="0"/>
    <n v="0"/>
    <n v="0"/>
    <n v="0"/>
    <n v="0"/>
    <n v="1118"/>
    <n v="4468646"/>
    <n v="0"/>
    <n v="0"/>
    <n v="0"/>
    <n v="0"/>
    <n v="186"/>
    <n v="744774"/>
    <n v="4004.1612903225805"/>
    <n v="242"/>
    <n v="969007.03225806449"/>
    <n v="242"/>
    <n v="969007.03225806449"/>
    <n v="242"/>
    <n v="969007.03225806449"/>
  </r>
  <r>
    <x v="6"/>
    <s v="OBLEAS JL SAS"/>
    <s v="SEEDPACK"/>
    <x v="210"/>
    <x v="210"/>
    <n v="0"/>
    <n v="0"/>
    <n v="0"/>
    <n v="0"/>
    <n v="0"/>
    <n v="0"/>
    <n v="0"/>
    <n v="0"/>
    <n v="20400"/>
    <n v="3121200"/>
    <n v="0"/>
    <n v="0"/>
    <n v="3400"/>
    <n v="520200"/>
    <n v="153"/>
    <n v="4420"/>
    <n v="676260"/>
    <n v="4420"/>
    <n v="676260"/>
    <n v="4420"/>
    <n v="676260"/>
  </r>
  <r>
    <x v="6"/>
    <s v="OBLEAS JL SAS"/>
    <s v="SEEDPACK"/>
    <x v="211"/>
    <x v="211"/>
    <n v="0"/>
    <n v="0"/>
    <n v="0"/>
    <n v="0"/>
    <n v="54000"/>
    <n v="5130000"/>
    <n v="27000"/>
    <n v="2565000"/>
    <n v="81000"/>
    <n v="7695000"/>
    <n v="0"/>
    <n v="0"/>
    <n v="27000"/>
    <n v="2565000"/>
    <n v="95"/>
    <n v="35100"/>
    <n v="3334500"/>
    <n v="35100"/>
    <n v="3334500"/>
    <n v="35100"/>
    <n v="3334500"/>
  </r>
  <r>
    <x v="6"/>
    <s v="OBLEAS JL SAS"/>
    <s v="SEEDPACK"/>
    <x v="212"/>
    <x v="212"/>
    <n v="20000"/>
    <n v="5600000"/>
    <n v="0"/>
    <n v="0"/>
    <n v="0"/>
    <n v="0"/>
    <n v="0"/>
    <n v="0"/>
    <n v="0"/>
    <n v="0"/>
    <n v="0"/>
    <n v="0"/>
    <n v="3333"/>
    <n v="933333"/>
    <n v="280.02790279027903"/>
    <n v="4333"/>
    <n v="1213360.9027902791"/>
    <n v="4333"/>
    <n v="1213360.9027902791"/>
    <n v="4333"/>
    <n v="1213360.9027902791"/>
  </r>
  <r>
    <x v="6"/>
    <s v="OFIGRAF IMPRESORES SAS"/>
    <s v="Microcorrugado"/>
    <x v="213"/>
    <x v="213"/>
    <n v="0"/>
    <n v="0"/>
    <n v="0"/>
    <n v="0"/>
    <n v="0"/>
    <n v="0"/>
    <n v="0"/>
    <n v="0"/>
    <n v="2050"/>
    <n v="514550"/>
    <n v="0"/>
    <n v="0"/>
    <n v="342"/>
    <n v="85758"/>
    <n v="250.75438596491227"/>
    <n v="444"/>
    <n v="111334.94736842105"/>
    <n v="444"/>
    <n v="111334.94736842105"/>
    <n v="444"/>
    <n v="111334.94736842105"/>
  </r>
  <r>
    <x v="6"/>
    <s v="OFIGRAF IMPRESORES SAS"/>
    <s v="Microcorrugado"/>
    <x v="214"/>
    <x v="214"/>
    <n v="0"/>
    <n v="0"/>
    <n v="0"/>
    <n v="0"/>
    <n v="0"/>
    <n v="0"/>
    <n v="0"/>
    <n v="0"/>
    <n v="1000"/>
    <n v="1769000"/>
    <n v="0"/>
    <n v="0"/>
    <n v="167"/>
    <n v="294833"/>
    <n v="1765.4670658682635"/>
    <n v="217"/>
    <n v="383106.35329341318"/>
    <n v="217"/>
    <n v="383106.35329341318"/>
    <n v="217"/>
    <n v="383106.35329341318"/>
  </r>
  <r>
    <x v="6"/>
    <s v="OFIGRAF IMPRESORES SAS"/>
    <s v="Microcorrugado"/>
    <x v="215"/>
    <x v="215"/>
    <n v="0"/>
    <n v="0"/>
    <n v="0"/>
    <n v="0"/>
    <n v="0"/>
    <n v="0"/>
    <n v="0"/>
    <n v="0"/>
    <n v="1060"/>
    <n v="302100"/>
    <n v="0"/>
    <n v="0"/>
    <n v="177"/>
    <n v="50350"/>
    <n v="284.46327683615817"/>
    <n v="230"/>
    <n v="65426.553672316382"/>
    <n v="230"/>
    <n v="65426.553672316382"/>
    <n v="230"/>
    <n v="65426.553672316382"/>
  </r>
  <r>
    <x v="6"/>
    <s v="OFIGRAF IMPRESORES SAS"/>
    <s v="Microcorrugado"/>
    <x v="216"/>
    <x v="216"/>
    <n v="0"/>
    <n v="0"/>
    <n v="0"/>
    <n v="0"/>
    <n v="0"/>
    <n v="0"/>
    <n v="2110"/>
    <n v="960050"/>
    <n v="0"/>
    <n v="0"/>
    <n v="0"/>
    <n v="0"/>
    <n v="352"/>
    <n v="160008"/>
    <n v="454.56818181818181"/>
    <n v="457"/>
    <n v="207737.65909090909"/>
    <n v="457"/>
    <n v="207737.65909090909"/>
    <n v="457"/>
    <n v="207737.65909090909"/>
  </r>
  <r>
    <x v="6"/>
    <s v="OFIGRAF IMPRESORES SAS"/>
    <s v="Microcorrugado"/>
    <x v="217"/>
    <x v="217"/>
    <n v="1250"/>
    <n v="507500"/>
    <n v="3750"/>
    <n v="1522500"/>
    <n v="2500"/>
    <n v="1085000"/>
    <n v="2500"/>
    <n v="1085000"/>
    <n v="3750"/>
    <n v="1627500"/>
    <n v="1845"/>
    <n v="800833"/>
    <n v="2599"/>
    <n v="1104722"/>
    <n v="425.05656021546747"/>
    <n v="3379"/>
    <n v="1436266.1169680646"/>
    <n v="3379"/>
    <n v="1436266.1169680646"/>
    <n v="3379"/>
    <n v="1436266.1169680646"/>
  </r>
  <r>
    <x v="6"/>
    <s v="OFIGRAF IMPRESORES SAS"/>
    <s v="Microcorrugado"/>
    <x v="218"/>
    <x v="218"/>
    <n v="2500"/>
    <n v="1375000"/>
    <n v="7500"/>
    <n v="4125000"/>
    <n v="5000"/>
    <n v="2945000"/>
    <n v="5000"/>
    <n v="2945000"/>
    <n v="8080"/>
    <n v="4759120"/>
    <n v="4532"/>
    <n v="2669292"/>
    <n v="5435"/>
    <n v="3136402"/>
    <n v="577.07488500459976"/>
    <n v="7066"/>
    <n v="4077611.1374425017"/>
    <n v="7066"/>
    <n v="4077611.1374425017"/>
    <n v="7066"/>
    <n v="4077611.1374425017"/>
  </r>
  <r>
    <x v="6"/>
    <s v="OSCAR DE JESUS RODRIGUEZ OSORIO"/>
    <s v="SEEDPACK"/>
    <x v="133"/>
    <x v="133"/>
    <n v="630"/>
    <n v="156240"/>
    <n v="0"/>
    <n v="0"/>
    <n v="1260"/>
    <n v="312480"/>
    <n v="4410"/>
    <n v="1118880"/>
    <n v="3780"/>
    <n v="975240"/>
    <n v="2790"/>
    <n v="719820"/>
    <n v="2145"/>
    <n v="547110"/>
    <n v="255.06293706293707"/>
    <n v="2788"/>
    <n v="711115.46853146853"/>
    <n v="2788"/>
    <n v="711115.46853146853"/>
    <n v="2788"/>
    <n v="711115.46853146853"/>
  </r>
  <r>
    <x v="6"/>
    <s v="OSCAR DE JESUS RODRIGUEZ OSORIO"/>
    <s v="SEEDPACK"/>
    <x v="219"/>
    <x v="219"/>
    <n v="0"/>
    <n v="0"/>
    <n v="408"/>
    <n v="101184"/>
    <n v="0"/>
    <n v="0"/>
    <n v="0"/>
    <n v="0"/>
    <n v="0"/>
    <n v="0"/>
    <n v="0"/>
    <n v="0"/>
    <n v="68"/>
    <n v="16864"/>
    <n v="248"/>
    <n v="88"/>
    <n v="21824"/>
    <n v="88"/>
    <n v="21824"/>
    <n v="88"/>
    <n v="21824"/>
  </r>
  <r>
    <x v="6"/>
    <s v="OSCAR DE JESUS RODRIGUEZ OSORIO"/>
    <s v="SEEDPACK"/>
    <x v="127"/>
    <x v="127"/>
    <n v="2520"/>
    <n v="730800"/>
    <n v="3150"/>
    <n v="913500"/>
    <n v="2520"/>
    <n v="730800"/>
    <n v="0"/>
    <n v="0"/>
    <n v="0"/>
    <n v="0"/>
    <n v="0"/>
    <n v="0"/>
    <n v="1365"/>
    <n v="395850"/>
    <n v="290"/>
    <n v="1774"/>
    <n v="514460"/>
    <n v="1774"/>
    <n v="514460"/>
    <n v="1774"/>
    <n v="514460"/>
  </r>
  <r>
    <x v="6"/>
    <s v="PAULA ANDREA MARIN BOTERO"/>
    <s v="SEEDPACK"/>
    <x v="176"/>
    <x v="176"/>
    <n v="0"/>
    <n v="0"/>
    <n v="0"/>
    <n v="0"/>
    <n v="2000"/>
    <n v="1572000"/>
    <n v="9000"/>
    <n v="7074000"/>
    <n v="0"/>
    <n v="0"/>
    <n v="0"/>
    <n v="0"/>
    <n v="1833"/>
    <n v="1441000"/>
    <n v="786.14293507910531"/>
    <n v="2383"/>
    <n v="1873378.614293508"/>
    <n v="2383"/>
    <n v="1873378.614293508"/>
    <n v="2383"/>
    <n v="1873378.614293508"/>
  </r>
  <r>
    <x v="6"/>
    <s v="PAULA ANDREA MARIN BOTERO"/>
    <s v="SEEDPACK"/>
    <x v="220"/>
    <x v="179"/>
    <n v="0"/>
    <n v="0"/>
    <n v="0"/>
    <n v="0"/>
    <n v="0"/>
    <n v="0"/>
    <n v="7000"/>
    <n v="7609000"/>
    <n v="0"/>
    <n v="0"/>
    <n v="0"/>
    <n v="0"/>
    <n v="1167"/>
    <n v="1268167"/>
    <n v="1086.6898029134534"/>
    <n v="1517"/>
    <n v="1648508.4310197087"/>
    <n v="1517"/>
    <n v="1648508.4310197087"/>
    <n v="1517"/>
    <n v="1648508.4310197087"/>
  </r>
  <r>
    <x v="6"/>
    <s v="PAULA ANDREA MARIN BOTERO"/>
    <s v="SEEDPACK"/>
    <x v="177"/>
    <x v="177"/>
    <n v="0"/>
    <n v="0"/>
    <n v="0"/>
    <n v="0"/>
    <n v="0"/>
    <n v="0"/>
    <n v="2000"/>
    <n v="3396000"/>
    <n v="0"/>
    <n v="0"/>
    <n v="0"/>
    <n v="0"/>
    <n v="333"/>
    <n v="566000"/>
    <n v="1699.6996996996997"/>
    <n v="433"/>
    <n v="735969.96996996994"/>
    <n v="433"/>
    <n v="735969.96996996994"/>
    <n v="433"/>
    <n v="735969.96996996994"/>
  </r>
  <r>
    <x v="6"/>
    <s v="PAULA ANDREA MARIN BOTERO"/>
    <s v="SEEDPACK"/>
    <x v="178"/>
    <x v="178"/>
    <n v="0"/>
    <n v="0"/>
    <n v="0"/>
    <n v="0"/>
    <n v="200"/>
    <n v="115400"/>
    <n v="10000"/>
    <n v="5770000"/>
    <n v="0"/>
    <n v="0"/>
    <n v="0"/>
    <n v="0"/>
    <n v="1700"/>
    <n v="980900"/>
    <n v="577"/>
    <n v="2210"/>
    <n v="1275170"/>
    <n v="2210"/>
    <n v="1275170"/>
    <n v="2210"/>
    <n v="1275170"/>
  </r>
  <r>
    <x v="6"/>
    <s v="PAULA ANDREA MARIN BOTERO"/>
    <s v="SEEDPACK"/>
    <x v="179"/>
    <x v="179"/>
    <n v="0"/>
    <n v="0"/>
    <n v="0"/>
    <n v="0"/>
    <n v="300"/>
    <n v="326100"/>
    <n v="5000"/>
    <n v="5435000"/>
    <n v="0"/>
    <n v="0"/>
    <n v="0"/>
    <n v="0"/>
    <n v="883"/>
    <n v="960183"/>
    <n v="1087.4099660249151"/>
    <n v="1148"/>
    <n v="1248346.6409966026"/>
    <n v="1148"/>
    <n v="1248346.6409966026"/>
    <n v="1148"/>
    <n v="1248346.6409966026"/>
  </r>
  <r>
    <x v="6"/>
    <s v="PRIMERA LINEA ACABADOS GRAFICOS S.A.S"/>
    <s v="Microcorrugado"/>
    <x v="187"/>
    <x v="187"/>
    <n v="0"/>
    <n v="0"/>
    <n v="7000"/>
    <n v="10101000"/>
    <n v="659"/>
    <n v="950937"/>
    <n v="0"/>
    <n v="0"/>
    <n v="0"/>
    <n v="0"/>
    <n v="0"/>
    <n v="0"/>
    <n v="1276"/>
    <n v="1841990"/>
    <n v="1443.5658307210031"/>
    <n v="1659"/>
    <n v="2394875.7131661442"/>
    <n v="1659"/>
    <n v="2394875.7131661442"/>
    <n v="1659"/>
    <n v="2394875.7131661442"/>
  </r>
  <r>
    <x v="6"/>
    <s v="PRIMERA LINEA ACABADOS GRAFICOS S.A.S"/>
    <s v="Microcorrugado"/>
    <x v="197"/>
    <x v="197"/>
    <n v="0"/>
    <n v="0"/>
    <n v="0"/>
    <n v="0"/>
    <n v="0"/>
    <n v="0"/>
    <n v="0"/>
    <n v="0"/>
    <n v="20000"/>
    <n v="11240000"/>
    <n v="0"/>
    <n v="0"/>
    <n v="3333"/>
    <n v="1873333"/>
    <n v="562.05610561056108"/>
    <n v="4333"/>
    <n v="2435389.1056105611"/>
    <n v="4333"/>
    <n v="2435389.1056105611"/>
    <n v="4333"/>
    <n v="2435389.1056105611"/>
  </r>
  <r>
    <x v="6"/>
    <s v="PRIMERA LINEA ACABADOS GRAFICOS S.A.S"/>
    <s v="Microcorrugado"/>
    <x v="183"/>
    <x v="183"/>
    <n v="0"/>
    <n v="0"/>
    <n v="17000"/>
    <n v="8993000"/>
    <n v="0"/>
    <n v="0"/>
    <n v="0"/>
    <n v="0"/>
    <n v="10000"/>
    <n v="5660000"/>
    <n v="0"/>
    <n v="0"/>
    <n v="4500"/>
    <n v="2442167"/>
    <n v="542.70377777777776"/>
    <n v="5850"/>
    <n v="3174817.1"/>
    <n v="5850"/>
    <n v="3174817.1"/>
    <n v="5850"/>
    <n v="3174817.1"/>
  </r>
  <r>
    <x v="6"/>
    <s v="PRODUCTOS ALIMENTICIOS PAN ARABE S.A.S"/>
    <s v="SEEDPACK"/>
    <x v="221"/>
    <x v="220"/>
    <n v="0"/>
    <n v="0"/>
    <n v="0"/>
    <n v="0"/>
    <n v="0"/>
    <n v="0"/>
    <n v="0"/>
    <n v="0"/>
    <n v="0"/>
    <n v="0"/>
    <n v="148800"/>
    <n v="17558400"/>
    <n v="24800"/>
    <n v="2926400"/>
    <n v="118"/>
    <n v="32240"/>
    <n v="3804320"/>
    <n v="32240"/>
    <n v="3804320"/>
    <n v="32240"/>
    <n v="3804320"/>
  </r>
  <r>
    <x v="6"/>
    <s v="PRODUCTOS ALIMENTICIOS PAN ARABE S.A.S"/>
    <s v="SEEDPACK"/>
    <x v="222"/>
    <x v="221"/>
    <n v="276000"/>
    <n v="40682400"/>
    <n v="276000"/>
    <n v="40682400"/>
    <n v="268800"/>
    <n v="39621120"/>
    <n v="7200"/>
    <n v="1061280"/>
    <n v="0"/>
    <n v="0"/>
    <n v="0"/>
    <n v="0"/>
    <n v="138000"/>
    <n v="20341200"/>
    <n v="147.4"/>
    <n v="179400"/>
    <n v="26443560"/>
    <n v="179400"/>
    <n v="26443560"/>
    <n v="179400"/>
    <n v="26443560"/>
  </r>
  <r>
    <x v="6"/>
    <s v="REAL COLOR GRUPO CREATIVO SAS"/>
    <s v="Microcorrugado"/>
    <x v="223"/>
    <x v="222"/>
    <n v="0"/>
    <n v="0"/>
    <n v="0"/>
    <n v="0"/>
    <n v="1910"/>
    <n v="2779050"/>
    <n v="290"/>
    <n v="421950"/>
    <n v="0"/>
    <n v="0"/>
    <n v="0"/>
    <n v="0"/>
    <n v="367"/>
    <n v="533500"/>
    <n v="1453.6784741144413"/>
    <n v="477"/>
    <n v="693404.63215258846"/>
    <n v="477"/>
    <n v="693404.63215258846"/>
    <n v="477"/>
    <n v="693404.63215258846"/>
  </r>
  <r>
    <x v="6"/>
    <s v="REAL COLOR GRUPO CREATIVO SAS"/>
    <s v="SERVICIO"/>
    <x v="7"/>
    <x v="7"/>
    <n v="0"/>
    <n v="0"/>
    <n v="0"/>
    <n v="0"/>
    <n v="1146"/>
    <n v="880128"/>
    <n v="96"/>
    <n v="73728"/>
    <n v="0"/>
    <n v="0"/>
    <n v="0"/>
    <n v="0"/>
    <n v="207"/>
    <n v="158976"/>
    <n v="768"/>
    <n v="269"/>
    <n v="206592"/>
    <n v="269"/>
    <n v="206592"/>
    <n v="269"/>
    <n v="206592"/>
  </r>
  <r>
    <x v="6"/>
    <s v="RED GRAFICA ELITE S.A.S"/>
    <s v="Microcorrugado"/>
    <x v="224"/>
    <x v="223"/>
    <n v="1000"/>
    <n v="2773000"/>
    <n v="125"/>
    <n v="346625"/>
    <n v="2375"/>
    <n v="6779875"/>
    <n v="0"/>
    <n v="0"/>
    <n v="0"/>
    <n v="0"/>
    <n v="0"/>
    <n v="0"/>
    <n v="583"/>
    <n v="1649917"/>
    <n v="2830.0463121783878"/>
    <n v="758"/>
    <n v="2145175.1046312181"/>
    <n v="758"/>
    <n v="2145175.1046312181"/>
    <n v="758"/>
    <n v="2145175.1046312181"/>
  </r>
  <r>
    <x v="6"/>
    <s v="TERMINADOS  Y BARNIZADOS UV SAS"/>
    <s v="Microcorrugado"/>
    <x v="225"/>
    <x v="224"/>
    <n v="0"/>
    <n v="0"/>
    <n v="0"/>
    <n v="0"/>
    <n v="0"/>
    <n v="0"/>
    <n v="0"/>
    <n v="0"/>
    <n v="0"/>
    <n v="0"/>
    <n v="12548"/>
    <n v="21105095"/>
    <n v="2091"/>
    <n v="3517516"/>
    <n v="1682.2171209947394"/>
    <n v="2719"/>
    <n v="4573948.3519846965"/>
    <n v="2719"/>
    <n v="4573948.3519846965"/>
    <n v="2719"/>
    <n v="4573948.3519846965"/>
  </r>
  <r>
    <x v="6"/>
    <s v="ZULUAGA IMPRESORES SAS"/>
    <s v="Microcorrugado"/>
    <x v="226"/>
    <x v="225"/>
    <n v="1000"/>
    <n v="1192000"/>
    <n v="0"/>
    <n v="0"/>
    <n v="0"/>
    <n v="0"/>
    <n v="0"/>
    <n v="0"/>
    <n v="0"/>
    <n v="0"/>
    <n v="0"/>
    <n v="0"/>
    <n v="167"/>
    <n v="198667"/>
    <n v="1189.622754491018"/>
    <n v="217"/>
    <n v="258148.13772455091"/>
    <n v="217"/>
    <n v="258148.13772455091"/>
    <n v="217"/>
    <n v="258148.13772455091"/>
  </r>
  <r>
    <x v="6"/>
    <s v="ZULUAGA IMPRESORES SAS"/>
    <s v="Microcorrugado"/>
    <x v="227"/>
    <x v="226"/>
    <n v="0"/>
    <n v="0"/>
    <n v="0"/>
    <n v="0"/>
    <n v="0"/>
    <n v="0"/>
    <n v="0"/>
    <n v="0"/>
    <n v="1000"/>
    <n v="272000"/>
    <n v="0"/>
    <n v="0"/>
    <n v="167"/>
    <n v="45333"/>
    <n v="271.45508982035926"/>
    <n v="217"/>
    <n v="58905.754491017957"/>
    <n v="217"/>
    <n v="58905.754491017957"/>
    <n v="217"/>
    <n v="58905.754491017957"/>
  </r>
  <r>
    <x v="6"/>
    <s v="ZULUAGA IMPRESORES SAS"/>
    <s v="Microcorrugado"/>
    <x v="228"/>
    <x v="227"/>
    <n v="0"/>
    <n v="0"/>
    <n v="0"/>
    <n v="0"/>
    <n v="0"/>
    <n v="0"/>
    <n v="0"/>
    <n v="0"/>
    <n v="2000"/>
    <n v="806000"/>
    <n v="0"/>
    <n v="0"/>
    <n v="333"/>
    <n v="134333"/>
    <n v="403.4024024024024"/>
    <n v="433"/>
    <n v="174673.24024024024"/>
    <n v="433"/>
    <n v="174673.24024024024"/>
    <n v="433"/>
    <n v="174673.24024024024"/>
  </r>
  <r>
    <x v="6"/>
    <s v="ZULUAGA IMPRESORES SAS"/>
    <s v="Microcorrugado"/>
    <x v="229"/>
    <x v="228"/>
    <n v="0"/>
    <n v="0"/>
    <n v="2150"/>
    <n v="1965100"/>
    <n v="0"/>
    <n v="0"/>
    <n v="0"/>
    <n v="0"/>
    <n v="0"/>
    <n v="0"/>
    <n v="0"/>
    <n v="0"/>
    <n v="358"/>
    <n v="327517"/>
    <n v="914.85195530726253"/>
    <n v="466"/>
    <n v="426321.01117318432"/>
    <n v="466"/>
    <n v="426321.01117318432"/>
    <n v="466"/>
    <n v="426321.01117318432"/>
  </r>
  <r>
    <x v="7"/>
    <s v="MATRIA GROUP LLC"/>
    <s v="EXPORTACION"/>
    <x v="230"/>
    <x v="229"/>
    <n v="0"/>
    <n v="0"/>
    <n v="48000"/>
    <n v="3523651"/>
    <n v="0"/>
    <n v="0"/>
    <n v="241600"/>
    <n v="12588237"/>
    <n v="0"/>
    <n v="0"/>
    <n v="0"/>
    <n v="0"/>
    <n v="48267"/>
    <n v="2685315"/>
    <n v="55.634595064951206"/>
    <n v="62747"/>
    <n v="3490903.9365404933"/>
    <n v="62747"/>
    <n v="3490903.9365404933"/>
    <n v="62747"/>
    <n v="3490903.9365404933"/>
  </r>
  <r>
    <x v="7"/>
    <s v="MATRIA GROUP LLC"/>
    <s v="EXPORTACION"/>
    <x v="231"/>
    <x v="230"/>
    <n v="0"/>
    <n v="0"/>
    <n v="36000"/>
    <n v="13213692"/>
    <n v="0"/>
    <n v="0"/>
    <n v="144000"/>
    <n v="37097543"/>
    <n v="0"/>
    <n v="0"/>
    <n v="0"/>
    <n v="0"/>
    <n v="30000"/>
    <n v="8385206"/>
    <n v="279.50686666666667"/>
    <n v="39000"/>
    <n v="10900767.800000001"/>
    <n v="39000"/>
    <n v="10900767.800000001"/>
    <n v="39000"/>
    <n v="10900767.800000001"/>
  </r>
  <r>
    <x v="7"/>
    <s v="MATRIA GROUP LLC"/>
    <s v="EXPORTACION"/>
    <x v="232"/>
    <x v="231"/>
    <n v="0"/>
    <n v="0"/>
    <n v="42480"/>
    <n v="14032941"/>
    <n v="0"/>
    <n v="0"/>
    <n v="172800"/>
    <n v="40236526"/>
    <n v="0"/>
    <n v="0"/>
    <n v="0"/>
    <n v="0"/>
    <n v="35880"/>
    <n v="9044911"/>
    <n v="252.08782051282051"/>
    <n v="46644"/>
    <n v="11758384.300000001"/>
    <n v="46644"/>
    <n v="11758384.300000001"/>
    <n v="46644"/>
    <n v="11758384.300000001"/>
  </r>
  <r>
    <x v="7"/>
    <s v="MATRIA GROUP LLC"/>
    <s v="EXPORTACION"/>
    <x v="233"/>
    <x v="232"/>
    <n v="0"/>
    <n v="0"/>
    <n v="20000"/>
    <n v="8809128"/>
    <n v="0"/>
    <n v="0"/>
    <n v="88500"/>
    <n v="27176691"/>
    <n v="0"/>
    <n v="0"/>
    <n v="0"/>
    <n v="0"/>
    <n v="18083"/>
    <n v="5997636"/>
    <n v="331.67262069346901"/>
    <n v="23508"/>
    <n v="7796959.9672620697"/>
    <n v="23508"/>
    <n v="7796959.9672620697"/>
    <n v="23508"/>
    <n v="7796959.9672620697"/>
  </r>
  <r>
    <x v="7"/>
    <s v="MATRIA GROUP LLC"/>
    <s v="EXPORTACION"/>
    <x v="234"/>
    <x v="233"/>
    <n v="0"/>
    <n v="0"/>
    <n v="0"/>
    <n v="0"/>
    <n v="0"/>
    <n v="0"/>
    <n v="21600"/>
    <n v="2782312"/>
    <n v="0"/>
    <n v="0"/>
    <n v="0"/>
    <n v="0"/>
    <n v="3600"/>
    <n v="463719"/>
    <n v="128.81083333333333"/>
    <n v="4680"/>
    <n v="602834.69999999995"/>
    <n v="4680"/>
    <n v="602834.69999999995"/>
    <n v="4680"/>
    <n v="602834.69999999995"/>
  </r>
  <r>
    <x v="7"/>
    <s v="MATRIA GROUP LLC"/>
    <s v="EXPORTACION"/>
    <x v="235"/>
    <x v="234"/>
    <n v="0"/>
    <n v="0"/>
    <n v="0"/>
    <n v="0"/>
    <n v="0"/>
    <n v="0"/>
    <n v="21600"/>
    <n v="3959448"/>
    <n v="0"/>
    <n v="0"/>
    <n v="0"/>
    <n v="0"/>
    <n v="3600"/>
    <n v="659908"/>
    <n v="183.30777777777777"/>
    <n v="4680"/>
    <n v="857880.4"/>
    <n v="4680"/>
    <n v="857880.4"/>
    <n v="4680"/>
    <n v="857880.4"/>
  </r>
  <r>
    <x v="7"/>
    <s v="MATRIA GROUP LLC"/>
    <s v="EXPORTACION"/>
    <x v="236"/>
    <x v="235"/>
    <n v="0"/>
    <n v="0"/>
    <n v="0"/>
    <n v="0"/>
    <n v="0"/>
    <n v="0"/>
    <n v="11880"/>
    <n v="3119404"/>
    <n v="0"/>
    <n v="0"/>
    <n v="0"/>
    <n v="0"/>
    <n v="1980"/>
    <n v="519901"/>
    <n v="262.57626262626263"/>
    <n v="2574"/>
    <n v="675871.3"/>
    <n v="2574"/>
    <n v="675871.3"/>
    <n v="2574"/>
    <n v="675871.3"/>
  </r>
  <r>
    <x v="7"/>
    <s v="MATRIA GROUP LLC"/>
    <s v="EXPORTACION"/>
    <x v="237"/>
    <x v="236"/>
    <n v="0"/>
    <n v="0"/>
    <n v="0"/>
    <n v="0"/>
    <n v="0"/>
    <n v="0"/>
    <n v="6720"/>
    <n v="2313843"/>
    <n v="0"/>
    <n v="0"/>
    <n v="0"/>
    <n v="0"/>
    <n v="1120"/>
    <n v="385640"/>
    <n v="344.32142857142856"/>
    <n v="1456"/>
    <n v="501332"/>
    <n v="1456"/>
    <n v="501332"/>
    <n v="1456"/>
    <n v="501332"/>
  </r>
  <r>
    <x v="7"/>
    <s v="MATRIA GROUP LLC"/>
    <s v="EXPORTACION"/>
    <x v="238"/>
    <x v="237"/>
    <n v="0"/>
    <n v="0"/>
    <n v="4000"/>
    <n v="3523651"/>
    <n v="0"/>
    <n v="0"/>
    <n v="17000"/>
    <n v="10880200"/>
    <n v="0"/>
    <n v="0"/>
    <n v="0"/>
    <n v="0"/>
    <n v="3500"/>
    <n v="2400642"/>
    <n v="685.8977142857143"/>
    <n v="4550"/>
    <n v="3120834.6"/>
    <n v="4550"/>
    <n v="3120834.6"/>
    <n v="4550"/>
    <n v="3120834.6"/>
  </r>
  <r>
    <x v="7"/>
    <s v="MATRIA GROUP LLC"/>
    <s v="EXPORTACION"/>
    <x v="239"/>
    <x v="238"/>
    <n v="0"/>
    <n v="0"/>
    <n v="15600"/>
    <n v="7443713"/>
    <n v="0"/>
    <n v="0"/>
    <n v="49680"/>
    <n v="16125290"/>
    <n v="0"/>
    <n v="0"/>
    <n v="0"/>
    <n v="0"/>
    <n v="10880"/>
    <n v="3928167"/>
    <n v="361.04476102941175"/>
    <n v="14144"/>
    <n v="5106617.0999999996"/>
    <n v="14144"/>
    <n v="5106617.0999999996"/>
    <n v="14144"/>
    <n v="5106617.0999999996"/>
  </r>
  <r>
    <x v="7"/>
    <s v="MATRIA GROUP LLC"/>
    <s v="EXPORTACION"/>
    <x v="240"/>
    <x v="239"/>
    <n v="0"/>
    <n v="0"/>
    <n v="6120"/>
    <n v="4043390"/>
    <n v="0"/>
    <n v="0"/>
    <n v="28440"/>
    <n v="14230891"/>
    <n v="0"/>
    <n v="0"/>
    <n v="0"/>
    <n v="0"/>
    <n v="5760"/>
    <n v="3045714"/>
    <n v="528.76979166666672"/>
    <n v="7488"/>
    <n v="3959428.2"/>
    <n v="7488"/>
    <n v="3959428.2"/>
    <n v="7488"/>
    <n v="3959428.2"/>
  </r>
  <r>
    <x v="7"/>
    <s v="MATRIA GROUP LLC"/>
    <s v="EXPORTACION"/>
    <x v="241"/>
    <x v="240"/>
    <n v="0"/>
    <n v="0"/>
    <n v="0"/>
    <n v="0"/>
    <n v="0"/>
    <n v="0"/>
    <n v="17280"/>
    <n v="4023652"/>
    <n v="0"/>
    <n v="0"/>
    <n v="0"/>
    <n v="0"/>
    <n v="2880"/>
    <n v="670609"/>
    <n v="232.85034722222221"/>
    <n v="3744"/>
    <n v="871791.7"/>
    <n v="3744"/>
    <n v="871791.7"/>
    <n v="3744"/>
    <n v="871791.7"/>
  </r>
  <r>
    <x v="7"/>
    <s v="MATRIA GROUP LLC"/>
    <s v="EXPORTACION"/>
    <x v="242"/>
    <x v="241"/>
    <n v="0"/>
    <n v="0"/>
    <n v="10800"/>
    <n v="2774875"/>
    <n v="0"/>
    <n v="0"/>
    <n v="39600"/>
    <n v="7124588"/>
    <n v="0"/>
    <n v="0"/>
    <n v="0"/>
    <n v="0"/>
    <n v="8400"/>
    <n v="1649910"/>
    <n v="196.41785714285714"/>
    <n v="10920"/>
    <n v="2144883"/>
    <n v="10920"/>
    <n v="2144883"/>
    <n v="10920"/>
    <n v="2144883"/>
  </r>
  <r>
    <x v="7"/>
    <s v="MATRIA GROUP LLC"/>
    <s v="EXPORTACION"/>
    <x v="243"/>
    <x v="242"/>
    <n v="0"/>
    <n v="0"/>
    <n v="5400"/>
    <n v="1982054"/>
    <n v="0"/>
    <n v="0"/>
    <n v="19800"/>
    <n v="5296583"/>
    <n v="0"/>
    <n v="0"/>
    <n v="0"/>
    <n v="0"/>
    <n v="4200"/>
    <n v="1213106"/>
    <n v="288.83476190476188"/>
    <n v="5460"/>
    <n v="1577037.7999999998"/>
    <n v="5460"/>
    <n v="1577037.7999999998"/>
    <n v="5460"/>
    <n v="1577037.7999999998"/>
  </r>
  <r>
    <x v="7"/>
    <s v="MATRIA GROUP LLC"/>
    <s v="EXPORTACION"/>
    <x v="244"/>
    <x v="243"/>
    <n v="0"/>
    <n v="0"/>
    <n v="21600"/>
    <n v="5549751"/>
    <n v="0"/>
    <n v="0"/>
    <n v="94500"/>
    <n v="17311974"/>
    <n v="0"/>
    <n v="0"/>
    <n v="0"/>
    <n v="0"/>
    <n v="19350"/>
    <n v="3810288"/>
    <n v="196.91410852713179"/>
    <n v="25155"/>
    <n v="4953374.4000000004"/>
    <n v="25155"/>
    <n v="4953374.4000000004"/>
    <n v="25155"/>
    <n v="4953374.4000000004"/>
  </r>
  <r>
    <x v="7"/>
    <s v="MATRIA GROUP LLC"/>
    <s v="EXPORTACION"/>
    <x v="245"/>
    <x v="244"/>
    <n v="0"/>
    <n v="0"/>
    <n v="16800"/>
    <n v="7399668"/>
    <n v="0"/>
    <n v="0"/>
    <n v="67500"/>
    <n v="20868168"/>
    <n v="0"/>
    <n v="0"/>
    <n v="0"/>
    <n v="0"/>
    <n v="14050"/>
    <n v="4711306"/>
    <n v="335.32427046263348"/>
    <n v="18265"/>
    <n v="6124697.8000000007"/>
    <n v="18265"/>
    <n v="6124697.8000000007"/>
    <n v="18265"/>
    <n v="6124697.8000000007"/>
  </r>
  <r>
    <x v="7"/>
    <s v="MATRIA GROUP LLC"/>
    <s v="OTROS"/>
    <x v="93"/>
    <x v="93"/>
    <n v="0"/>
    <n v="0"/>
    <n v="0"/>
    <n v="0"/>
    <n v="0"/>
    <n v="0"/>
    <n v="331"/>
    <n v="54471"/>
    <n v="0"/>
    <n v="0"/>
    <n v="0"/>
    <n v="0"/>
    <n v="55"/>
    <n v="9078"/>
    <n v="165.05454545454546"/>
    <n v="72"/>
    <n v="11883.927272727273"/>
    <n v="72"/>
    <n v="11883.927272727273"/>
    <n v="72"/>
    <n v="11883.927272727273"/>
  </r>
  <r>
    <x v="2"/>
    <s v="ARCHIE´S COMPANY SAS"/>
    <s v="SEEDPACK"/>
    <x v="246"/>
    <x v="245"/>
    <n v="0"/>
    <n v="0"/>
    <n v="0"/>
    <n v="0"/>
    <n v="0"/>
    <n v="0"/>
    <n v="0"/>
    <n v="0"/>
    <n v="0"/>
    <n v="0"/>
    <n v="15943"/>
    <n v="8688857"/>
    <n v="2657"/>
    <n v="1448143"/>
    <n v="545.02935641701163"/>
    <n v="3454"/>
    <n v="1882531.3970643582"/>
    <n v="3454"/>
    <n v="1882531.3970643582"/>
    <n v="3454"/>
    <n v="1882531.3970643582"/>
  </r>
  <r>
    <x v="2"/>
    <s v="ARCHIE´S COMPANY SAS"/>
    <s v="SEEDPACK"/>
    <x v="247"/>
    <x v="246"/>
    <n v="0"/>
    <n v="0"/>
    <n v="0"/>
    <n v="0"/>
    <n v="0"/>
    <n v="0"/>
    <n v="0"/>
    <n v="0"/>
    <n v="0"/>
    <n v="0"/>
    <n v="17714"/>
    <n v="10522286"/>
    <n v="2952"/>
    <n v="1753714"/>
    <n v="594.07655826558266"/>
    <n v="3838"/>
    <n v="2280065.8306233063"/>
    <n v="3838"/>
    <n v="2280065.8306233063"/>
    <n v="3838"/>
    <n v="2280065.8306233063"/>
  </r>
  <r>
    <x v="2"/>
    <s v="ARCHIE´S COMPANY SAS"/>
    <s v="SEEDPACK"/>
    <x v="248"/>
    <x v="247"/>
    <n v="0"/>
    <n v="0"/>
    <n v="0"/>
    <n v="0"/>
    <n v="0"/>
    <n v="0"/>
    <n v="0"/>
    <n v="0"/>
    <n v="0"/>
    <n v="0"/>
    <n v="11810"/>
    <n v="9943619"/>
    <n v="1968"/>
    <n v="1657270"/>
    <n v="842.10873983739839"/>
    <n v="2559"/>
    <n v="2154956.2652439023"/>
    <n v="2559"/>
    <n v="2154956.2652439023"/>
    <n v="2559"/>
    <n v="2154956.2652439023"/>
  </r>
  <r>
    <x v="2"/>
    <s v="BKAL SAS"/>
    <s v="SEEDPACK"/>
    <x v="94"/>
    <x v="94"/>
    <n v="0"/>
    <n v="0"/>
    <n v="0"/>
    <n v="0"/>
    <n v="0"/>
    <n v="0"/>
    <n v="0"/>
    <n v="0"/>
    <n v="4000"/>
    <n v="428000"/>
    <n v="0"/>
    <n v="0"/>
    <n v="667"/>
    <n v="71333"/>
    <n v="106.94602698650675"/>
    <n v="867"/>
    <n v="92722.205397301354"/>
    <n v="867"/>
    <n v="92722.205397301354"/>
    <n v="867"/>
    <n v="92722.205397301354"/>
  </r>
  <r>
    <x v="2"/>
    <s v="BKAL SAS"/>
    <s v="SEEDPACK"/>
    <x v="118"/>
    <x v="118"/>
    <n v="0"/>
    <n v="0"/>
    <n v="0"/>
    <n v="0"/>
    <n v="0"/>
    <n v="0"/>
    <n v="0"/>
    <n v="0"/>
    <n v="900"/>
    <n v="528300"/>
    <n v="0"/>
    <n v="0"/>
    <n v="150"/>
    <n v="88050"/>
    <n v="587"/>
    <n v="195"/>
    <n v="114465"/>
    <n v="195"/>
    <n v="114465"/>
    <n v="195"/>
    <n v="114465"/>
  </r>
  <r>
    <x v="2"/>
    <s v="BKAL SAS"/>
    <s v="SEEDPACK"/>
    <x v="119"/>
    <x v="119"/>
    <n v="0"/>
    <n v="0"/>
    <n v="0"/>
    <n v="0"/>
    <n v="0"/>
    <n v="0"/>
    <n v="0"/>
    <n v="0"/>
    <n v="540"/>
    <n v="430380"/>
    <n v="0"/>
    <n v="0"/>
    <n v="90"/>
    <n v="71730"/>
    <n v="797"/>
    <n v="117"/>
    <n v="93249"/>
    <n v="117"/>
    <n v="93249"/>
    <n v="117"/>
    <n v="93249"/>
  </r>
  <r>
    <x v="2"/>
    <s v="BLANCA CECILIA RINCON MURCIA"/>
    <s v="SEEDPACK"/>
    <x v="119"/>
    <x v="119"/>
    <n v="0"/>
    <n v="0"/>
    <n v="0"/>
    <n v="0"/>
    <n v="0"/>
    <n v="0"/>
    <n v="0"/>
    <n v="0"/>
    <n v="0"/>
    <n v="0"/>
    <n v="1329"/>
    <n v="818400"/>
    <n v="221"/>
    <n v="136400"/>
    <n v="617.19457013574663"/>
    <n v="288"/>
    <n v="177752.03619909502"/>
    <n v="288"/>
    <n v="177752.03619909502"/>
    <n v="288"/>
    <n v="177752.03619909502"/>
  </r>
  <r>
    <x v="2"/>
    <s v="COMERCIALIZADORA DE DESECHABLES SIDERAL SAS"/>
    <s v="PLATOS"/>
    <x v="167"/>
    <x v="167"/>
    <n v="0"/>
    <n v="0"/>
    <n v="1240"/>
    <n v="264194"/>
    <n v="0"/>
    <n v="0"/>
    <n v="0"/>
    <n v="0"/>
    <n v="0"/>
    <n v="0"/>
    <n v="0"/>
    <n v="0"/>
    <n v="207"/>
    <n v="44032"/>
    <n v="212.71497584541063"/>
    <n v="269"/>
    <n v="57220.328502415461"/>
    <n v="269"/>
    <n v="57220.328502415461"/>
    <n v="269"/>
    <n v="57220.328502415461"/>
  </r>
  <r>
    <x v="2"/>
    <s v="COMERCIALIZADORA DE DESECHABLES SIDERAL SAS"/>
    <s v="SEEDPACK"/>
    <x v="94"/>
    <x v="94"/>
    <n v="0"/>
    <n v="0"/>
    <n v="80000"/>
    <n v="5640000"/>
    <n v="0"/>
    <n v="0"/>
    <n v="60000"/>
    <n v="4230000"/>
    <n v="0"/>
    <n v="0"/>
    <n v="0"/>
    <n v="0"/>
    <n v="23333"/>
    <n v="1645000"/>
    <n v="70.501007157245098"/>
    <n v="30333"/>
    <n v="2138507.0501007154"/>
    <n v="30333"/>
    <n v="2138507.0501007154"/>
    <n v="30333"/>
    <n v="2138507.0501007154"/>
  </r>
  <r>
    <x v="2"/>
    <s v="COMERCIALIZADORA DE DESECHABLES SIDERAL SAS"/>
    <s v="Salseros"/>
    <x v="108"/>
    <x v="108"/>
    <n v="0"/>
    <n v="0"/>
    <n v="0"/>
    <n v="0"/>
    <n v="50000"/>
    <n v="1780000"/>
    <n v="0"/>
    <n v="0"/>
    <n v="0"/>
    <n v="0"/>
    <n v="0"/>
    <n v="0"/>
    <n v="8333"/>
    <n v="296667"/>
    <n v="35.601464058562343"/>
    <n v="10833"/>
    <n v="385670.66014640586"/>
    <n v="10833"/>
    <n v="385670.66014640586"/>
    <n v="10833"/>
    <n v="385670.66014640586"/>
  </r>
  <r>
    <x v="2"/>
    <s v="COMERCIALIZADORA DE DESECHABLES SIDERAL SAS"/>
    <s v="Salseros"/>
    <x v="110"/>
    <x v="110"/>
    <n v="0"/>
    <n v="0"/>
    <n v="0"/>
    <n v="0"/>
    <n v="0"/>
    <n v="0"/>
    <n v="0"/>
    <n v="0"/>
    <n v="0"/>
    <n v="0"/>
    <n v="36905"/>
    <n v="1365476"/>
    <n v="6151"/>
    <n v="227579"/>
    <n v="36.998699398471793"/>
    <n v="7996"/>
    <n v="295841.60039018048"/>
    <n v="7996"/>
    <n v="295841.60039018048"/>
    <n v="7996"/>
    <n v="295841.60039018048"/>
  </r>
  <r>
    <x v="2"/>
    <s v="COMERCIALIZADORA ECOPACK SAS"/>
    <s v="Salseros"/>
    <x v="108"/>
    <x v="108"/>
    <n v="0"/>
    <n v="0"/>
    <n v="0"/>
    <n v="0"/>
    <n v="0"/>
    <n v="0"/>
    <n v="0"/>
    <n v="0"/>
    <n v="0"/>
    <n v="0"/>
    <n v="36905"/>
    <n v="1317500"/>
    <n v="6151"/>
    <n v="219583"/>
    <n v="35.698748171029102"/>
    <n v="7996"/>
    <n v="285447.19037554873"/>
    <n v="7996"/>
    <n v="285447.19037554873"/>
    <n v="7996"/>
    <n v="285447.19037554873"/>
  </r>
  <r>
    <x v="2"/>
    <s v="GASTRONOMIA ITALIANA EN COLOMBIA S.A.S"/>
    <s v="BOLSAS"/>
    <x v="249"/>
    <x v="248"/>
    <n v="25000"/>
    <n v="3525000"/>
    <n v="15000"/>
    <n v="2115000"/>
    <n v="7500"/>
    <n v="1057500"/>
    <n v="7500"/>
    <n v="1057500"/>
    <n v="12500"/>
    <n v="1762500"/>
    <n v="0"/>
    <n v="0"/>
    <n v="11250"/>
    <n v="1586250"/>
    <n v="141"/>
    <n v="14625"/>
    <n v="2062125"/>
    <n v="14625"/>
    <n v="2062125"/>
    <n v="14625"/>
    <n v="2062125"/>
  </r>
  <r>
    <x v="2"/>
    <s v="GASTRONOMIA ITALIANA EN COLOMBIA S.A.S"/>
    <s v="BOLSAS"/>
    <x v="250"/>
    <x v="249"/>
    <n v="0"/>
    <n v="0"/>
    <n v="0"/>
    <n v="0"/>
    <n v="0"/>
    <n v="0"/>
    <n v="0"/>
    <n v="0"/>
    <n v="13500"/>
    <n v="5805000"/>
    <n v="0"/>
    <n v="0"/>
    <n v="2250"/>
    <n v="967500"/>
    <n v="430"/>
    <n v="2925"/>
    <n v="1257750"/>
    <n v="2925"/>
    <n v="1257750"/>
    <n v="2925"/>
    <n v="1257750"/>
  </r>
  <r>
    <x v="2"/>
    <s v="GASTRONOMIA ITALIANA EN COLOMBIA S.A.S"/>
    <s v="BOLSAS"/>
    <x v="251"/>
    <x v="250"/>
    <n v="17500"/>
    <n v="6422500"/>
    <n v="0"/>
    <n v="0"/>
    <n v="12500"/>
    <n v="4587500"/>
    <n v="0"/>
    <n v="0"/>
    <n v="20000"/>
    <n v="7340000"/>
    <n v="0"/>
    <n v="0"/>
    <n v="8333"/>
    <n v="3058333"/>
    <n v="367.0146405856234"/>
    <n v="10833"/>
    <n v="3975869.6014640583"/>
    <n v="10833"/>
    <n v="3975869.6014640583"/>
    <n v="10833"/>
    <n v="3975869.6014640583"/>
  </r>
  <r>
    <x v="2"/>
    <s v="GASTRONOMIA ITALIANA EN COLOMBIA S.A.S"/>
    <s v="BOLSAS"/>
    <x v="252"/>
    <x v="251"/>
    <n v="48500"/>
    <n v="26305500"/>
    <n v="8000"/>
    <n v="7264000"/>
    <n v="17400"/>
    <n v="15799200"/>
    <n v="4000"/>
    <n v="3632000"/>
    <n v="7000"/>
    <n v="6356000"/>
    <n v="0"/>
    <n v="0"/>
    <n v="14150"/>
    <n v="9892783"/>
    <n v="699.13660777385155"/>
    <n v="18395"/>
    <n v="12860617.899999999"/>
    <n v="18395"/>
    <n v="12860617.899999999"/>
    <n v="18395"/>
    <n v="12860617.899999999"/>
  </r>
  <r>
    <x v="2"/>
    <s v="GASTRONOMIA ITALIANA EN COLOMBIA S.A.S"/>
    <s v="BOLSAS"/>
    <x v="253"/>
    <x v="252"/>
    <n v="60000"/>
    <n v="34920000"/>
    <n v="58250"/>
    <n v="33901500"/>
    <n v="37500"/>
    <n v="21825000"/>
    <n v="87500"/>
    <n v="50925000"/>
    <n v="65000"/>
    <n v="37830000"/>
    <n v="0"/>
    <n v="0"/>
    <n v="51375"/>
    <n v="29900250"/>
    <n v="582"/>
    <n v="66787"/>
    <n v="38870034"/>
    <n v="66787"/>
    <n v="38870034"/>
    <n v="66787"/>
    <n v="38870034"/>
  </r>
  <r>
    <x v="2"/>
    <s v="GASTRONOMIA ITALIANA EN COLOMBIA S.A.S"/>
    <s v="HORNEADO"/>
    <x v="254"/>
    <x v="253"/>
    <n v="90000"/>
    <n v="6300000"/>
    <n v="360000"/>
    <n v="25200000"/>
    <n v="180000"/>
    <n v="12600000"/>
    <n v="180000"/>
    <n v="12600000"/>
    <n v="180000"/>
    <n v="12600000"/>
    <n v="0"/>
    <n v="0"/>
    <n v="165000"/>
    <n v="11550000"/>
    <n v="70"/>
    <n v="214500"/>
    <n v="15015000"/>
    <n v="214500"/>
    <n v="15015000"/>
    <n v="214500"/>
    <n v="15015000"/>
  </r>
  <r>
    <x v="2"/>
    <s v="GASTRONOMIA ITALIANA EN COLOMBIA S.A.S"/>
    <s v="HORNEADO"/>
    <x v="255"/>
    <x v="254"/>
    <n v="0"/>
    <n v="0"/>
    <n v="0"/>
    <n v="0"/>
    <n v="72000"/>
    <n v="3672000"/>
    <n v="24000"/>
    <n v="1224000"/>
    <n v="0"/>
    <n v="0"/>
    <n v="0"/>
    <n v="0"/>
    <n v="16000"/>
    <n v="816000"/>
    <n v="51"/>
    <n v="20800"/>
    <n v="1060800"/>
    <n v="20800"/>
    <n v="1060800"/>
    <n v="20800"/>
    <n v="1060800"/>
  </r>
  <r>
    <x v="2"/>
    <s v="GASTRONOMIA ITALIANA EN COLOMBIA S.A.S"/>
    <s v="SEEDPACK"/>
    <x v="246"/>
    <x v="245"/>
    <n v="13200"/>
    <n v="7194000"/>
    <n v="7200"/>
    <n v="3924000"/>
    <n v="15600"/>
    <n v="8502000"/>
    <n v="600"/>
    <n v="327000"/>
    <n v="15600"/>
    <n v="8502000"/>
    <n v="0"/>
    <n v="0"/>
    <n v="8700"/>
    <n v="4741500"/>
    <n v="545"/>
    <n v="11310"/>
    <n v="6163950"/>
    <n v="11310"/>
    <n v="6163950"/>
    <n v="11310"/>
    <n v="6163950"/>
  </r>
  <r>
    <x v="2"/>
    <s v="GASTRONOMIA ITALIANA EN COLOMBIA S.A.S"/>
    <s v="SEEDPACK"/>
    <x v="247"/>
    <x v="246"/>
    <n v="17600"/>
    <n v="11985600"/>
    <n v="1600"/>
    <n v="1089600"/>
    <n v="8160"/>
    <n v="4847040"/>
    <n v="13440"/>
    <n v="7983360"/>
    <n v="8000"/>
    <n v="4752000"/>
    <n v="0"/>
    <n v="0"/>
    <n v="8133"/>
    <n v="5109600"/>
    <n v="628.25525636296572"/>
    <n v="10573"/>
    <n v="6642542.8255256368"/>
    <n v="10573"/>
    <n v="6642542.8255256368"/>
    <n v="10573"/>
    <n v="6642542.8255256368"/>
  </r>
  <r>
    <x v="2"/>
    <s v="GASTRONOMIA ITALIANA EN COLOMBIA S.A.S"/>
    <s v="SEEDPACK"/>
    <x v="248"/>
    <x v="247"/>
    <n v="6400"/>
    <n v="5388800"/>
    <n v="6400"/>
    <n v="5388800"/>
    <n v="7200"/>
    <n v="6062400"/>
    <n v="4000"/>
    <n v="3368000"/>
    <n v="9120"/>
    <n v="7679040"/>
    <n v="0"/>
    <n v="0"/>
    <n v="5520"/>
    <n v="4647840"/>
    <n v="842"/>
    <n v="7176"/>
    <n v="6042192"/>
    <n v="7176"/>
    <n v="6042192"/>
    <n v="7176"/>
    <n v="6042192"/>
  </r>
  <r>
    <x v="2"/>
    <s v="GASTRONOMIA ITALIANA EN COLOMBIA S.A.S"/>
    <s v="SEEDPACK"/>
    <x v="256"/>
    <x v="255"/>
    <n v="30000"/>
    <n v="11070000"/>
    <n v="17400"/>
    <n v="6420600"/>
    <n v="23550"/>
    <n v="8689950"/>
    <n v="0"/>
    <n v="0"/>
    <n v="25050"/>
    <n v="9243450"/>
    <n v="11071"/>
    <n v="4085357"/>
    <n v="17845"/>
    <n v="6584893"/>
    <n v="369.00493135332027"/>
    <n v="23198"/>
    <n v="8560176.3975343239"/>
    <n v="23198"/>
    <n v="8560176.3975343239"/>
    <n v="23198"/>
    <n v="8560176.3975343239"/>
  </r>
  <r>
    <x v="2"/>
    <s v="GASTRONOMIA ITALIANA EN COLOMBIA S.A.S"/>
    <s v="SEEDPACK"/>
    <x v="257"/>
    <x v="256"/>
    <n v="80000"/>
    <n v="27200000"/>
    <n v="65000"/>
    <n v="22100000"/>
    <n v="15000"/>
    <n v="5100000"/>
    <n v="71450"/>
    <n v="24293000"/>
    <n v="73750"/>
    <n v="25075000"/>
    <n v="74031"/>
    <n v="25170524"/>
    <n v="63205"/>
    <n v="21489754"/>
    <n v="340.00085436278778"/>
    <n v="82167"/>
    <n v="27936850.200427182"/>
    <n v="82167"/>
    <n v="27936850.200427182"/>
    <n v="82167"/>
    <n v="27936850.200427182"/>
  </r>
  <r>
    <x v="2"/>
    <s v="OPERADORA DE FRANQUICIAS DE COLOMBIA SAS"/>
    <s v="SEEDPACK"/>
    <x v="258"/>
    <x v="257"/>
    <n v="0"/>
    <n v="0"/>
    <n v="1900"/>
    <n v="450300"/>
    <n v="0"/>
    <n v="0"/>
    <n v="0"/>
    <n v="0"/>
    <n v="2000"/>
    <n v="474000"/>
    <n v="0"/>
    <n v="0"/>
    <n v="650"/>
    <n v="154050"/>
    <n v="237"/>
    <n v="845"/>
    <n v="200265"/>
    <n v="845"/>
    <n v="200265"/>
    <n v="845"/>
    <n v="200265"/>
  </r>
  <r>
    <x v="1"/>
    <s v="ACTTUA SAS"/>
    <s v="Salseros"/>
    <x v="108"/>
    <x v="108"/>
    <n v="0"/>
    <n v="0"/>
    <n v="0"/>
    <n v="0"/>
    <n v="100000"/>
    <n v="3365000"/>
    <n v="0"/>
    <n v="0"/>
    <n v="0"/>
    <n v="0"/>
    <n v="0"/>
    <n v="0"/>
    <n v="16667"/>
    <n v="560833"/>
    <n v="33.649307013859726"/>
    <n v="0"/>
    <n v="0"/>
    <n v="21667"/>
    <n v="729079.5350692987"/>
    <n v="21667"/>
    <n v="729079.5350692987"/>
  </r>
  <r>
    <x v="1"/>
    <s v="PURA IMAGEN SAS"/>
    <s v="Salseros"/>
    <x v="108"/>
    <x v="108"/>
    <n v="0"/>
    <n v="0"/>
    <n v="60000"/>
    <n v="2082000"/>
    <n v="0"/>
    <n v="0"/>
    <n v="0"/>
    <n v="0"/>
    <n v="0"/>
    <n v="0"/>
    <n v="0"/>
    <n v="0"/>
    <n v="10000"/>
    <n v="347000"/>
    <n v="34.700000000000003"/>
    <n v="0"/>
    <n v="0"/>
    <n v="13000"/>
    <n v="451100.00000000006"/>
    <n v="13000"/>
    <n v="451100.00000000006"/>
  </r>
  <r>
    <x v="1"/>
    <s v="PURA IMAGEN SAS"/>
    <s v="Salseros"/>
    <x v="132"/>
    <x v="132"/>
    <n v="0"/>
    <n v="0"/>
    <n v="10000"/>
    <n v="426000"/>
    <n v="0"/>
    <n v="0"/>
    <n v="0"/>
    <n v="0"/>
    <n v="0"/>
    <n v="0"/>
    <n v="0"/>
    <n v="0"/>
    <n v="1667"/>
    <n v="71000"/>
    <n v="42.591481703659269"/>
    <n v="0"/>
    <n v="0"/>
    <n v="2167"/>
    <n v="92295.740851829643"/>
    <n v="2167"/>
    <n v="92295.740851829643"/>
  </r>
  <r>
    <x v="1"/>
    <s v="PURA IMAGEN SAS"/>
    <s v="Salseros"/>
    <x v="149"/>
    <x v="149"/>
    <n v="0"/>
    <n v="0"/>
    <n v="5000"/>
    <n v="301500"/>
    <n v="0"/>
    <n v="0"/>
    <n v="0"/>
    <n v="0"/>
    <n v="0"/>
    <n v="0"/>
    <n v="0"/>
    <n v="0"/>
    <n v="833"/>
    <n v="50250"/>
    <n v="60.324129651860744"/>
    <n v="0"/>
    <n v="0"/>
    <n v="1083"/>
    <n v="65331.032412965185"/>
    <n v="1083"/>
    <n v="65331.032412965185"/>
  </r>
  <r>
    <x v="3"/>
    <s v="CARNIVOROS CYJ SAS"/>
    <s v="SEEDPACK"/>
    <x v="109"/>
    <x v="109"/>
    <n v="0"/>
    <n v="0"/>
    <n v="6600"/>
    <n v="6633000"/>
    <n v="3000"/>
    <n v="3015000"/>
    <n v="0"/>
    <n v="0"/>
    <n v="1000"/>
    <n v="1005000"/>
    <n v="0"/>
    <n v="0"/>
    <n v="1767"/>
    <n v="1775500"/>
    <n v="1004.8104131295981"/>
    <n v="2297"/>
    <n v="2308049.5189586869"/>
    <n v="2297"/>
    <n v="2308049.5189586869"/>
    <n v="2297"/>
    <n v="2308049.5189586869"/>
  </r>
  <r>
    <x v="3"/>
    <s v="MAKRO SUPERMAYORISTA SAS"/>
    <s v="PLATOS"/>
    <x v="115"/>
    <x v="115"/>
    <n v="144"/>
    <n v="1038528"/>
    <n v="252"/>
    <n v="1817424"/>
    <n v="432"/>
    <n v="3115584"/>
    <n v="36"/>
    <n v="259632"/>
    <n v="180"/>
    <n v="1298160"/>
    <n v="53"/>
    <n v="383266"/>
    <n v="183"/>
    <n v="1318766"/>
    <n v="360.31857923497267"/>
    <n v="6600"/>
    <n v="2378102.6229508198"/>
    <n v="6600"/>
    <n v="2378102.6229508198"/>
    <n v="6600"/>
    <n v="2378102.6229508198"/>
  </r>
  <r>
    <x v="3"/>
    <s v="MAKRO SUPERMAYORISTA SAS"/>
    <s v="PLATOS"/>
    <x v="116"/>
    <x v="116"/>
    <n v="0"/>
    <n v="0"/>
    <n v="360"/>
    <n v="3528000"/>
    <n v="140"/>
    <n v="1372000"/>
    <n v="56"/>
    <n v="548800"/>
    <n v="56"/>
    <n v="548800"/>
    <n v="83"/>
    <n v="810133"/>
    <n v="115"/>
    <n v="1134623"/>
    <n v="493.31434782608693"/>
    <n v="5500"/>
    <n v="2713228.913043478"/>
    <n v="5500"/>
    <n v="2713228.913043478"/>
    <n v="5500"/>
    <n v="2713228.913043478"/>
  </r>
  <r>
    <x v="3"/>
    <s v="MAKRO SUPERMAYORISTA SAS"/>
    <s v="PLATOS"/>
    <x v="152"/>
    <x v="152"/>
    <n v="96"/>
    <n v="1132800"/>
    <n v="192"/>
    <n v="2265600"/>
    <n v="0"/>
    <n v="0"/>
    <n v="24"/>
    <n v="283200"/>
    <n v="72"/>
    <n v="849600"/>
    <n v="35"/>
    <n v="418057"/>
    <n v="70"/>
    <n v="824876"/>
    <n v="589.19714285714292"/>
    <n v="3000"/>
    <n v="1767591.4285714289"/>
    <n v="3000"/>
    <n v="1767591.4285714289"/>
    <n v="3000"/>
    <n v="1767591.4285714289"/>
  </r>
  <r>
    <x v="3"/>
    <s v="MAKRO SUPERMAYORISTA SAS"/>
    <s v="SEEDPACK"/>
    <x v="259"/>
    <x v="258"/>
    <n v="0"/>
    <n v="0"/>
    <n v="160"/>
    <n v="712800"/>
    <n v="80"/>
    <n v="356400"/>
    <n v="120"/>
    <n v="534600"/>
    <n v="160"/>
    <n v="712800"/>
    <n v="236"/>
    <n v="1052229"/>
    <n v="126"/>
    <n v="561471"/>
    <n v="89.122380952380951"/>
    <n v="16000"/>
    <n v="1425958.0952380951"/>
    <n v="16000"/>
    <n v="1425958.0952380951"/>
    <n v="16000"/>
    <n v="1425958.0952380951"/>
  </r>
  <r>
    <x v="3"/>
    <s v="MAKRO SUPERMAYORISTA SAS"/>
    <s v="SEEDPACK"/>
    <x v="107"/>
    <x v="107"/>
    <n v="0"/>
    <n v="0"/>
    <n v="432"/>
    <n v="3189456"/>
    <n v="162"/>
    <n v="1196046"/>
    <n v="378"/>
    <n v="2790774"/>
    <n v="108"/>
    <n v="797364"/>
    <n v="159"/>
    <n v="1177061"/>
    <n v="207"/>
    <n v="1525117"/>
    <n v="368.38574879227053"/>
    <n v="6460"/>
    <n v="2379771.9371980675"/>
    <n v="6460"/>
    <n v="2379771.9371980675"/>
    <n v="6460"/>
    <n v="2379771.9371980675"/>
  </r>
  <r>
    <x v="3"/>
    <s v="MAKRO SUPERMAYORISTA SAS"/>
    <s v="SEEDPACK"/>
    <x v="113"/>
    <x v="113"/>
    <n v="0"/>
    <n v="0"/>
    <n v="0"/>
    <n v="0"/>
    <n v="0"/>
    <n v="0"/>
    <n v="36"/>
    <n v="343728"/>
    <n v="0"/>
    <n v="0"/>
    <n v="0"/>
    <n v="0"/>
    <n v="6"/>
    <n v="57288"/>
    <n v="477.4"/>
    <n v="0"/>
    <n v="0"/>
    <n v="0"/>
    <n v="0"/>
    <n v="0"/>
    <n v="0"/>
  </r>
  <r>
    <x v="3"/>
    <s v="MAKRO SUPERMAYORISTA SAS"/>
    <s v="SEEDPACK"/>
    <x v="260"/>
    <x v="259"/>
    <n v="0"/>
    <n v="0"/>
    <n v="252"/>
    <n v="2406096"/>
    <n v="288"/>
    <n v="2749824"/>
    <n v="108"/>
    <n v="1031184"/>
    <n v="216"/>
    <n v="2062368"/>
    <n v="106"/>
    <n v="1014816"/>
    <n v="162"/>
    <n v="1544048"/>
    <n v="476.55802469135807"/>
    <n v="10800"/>
    <n v="5146826.666666667"/>
    <n v="10800"/>
    <n v="5146826.666666667"/>
    <n v="10800"/>
    <n v="5146826.666666667"/>
  </r>
  <r>
    <x v="3"/>
    <s v="MAKRO SUPERMAYORISTA SAS"/>
    <s v="SEEDPACK"/>
    <x v="261"/>
    <x v="260"/>
    <n v="100"/>
    <n v="1207900"/>
    <n v="50"/>
    <n v="603950"/>
    <n v="50"/>
    <n v="603950"/>
    <n v="75"/>
    <n v="905925"/>
    <n v="100"/>
    <n v="1207900"/>
    <n v="37"/>
    <n v="445773"/>
    <n v="68"/>
    <n v="829233"/>
    <n v="609.73014705882349"/>
    <n v="3000"/>
    <n v="1829190.4411764704"/>
    <n v="3000"/>
    <n v="1829190.4411764704"/>
    <n v="3000"/>
    <n v="1829190.4411764704"/>
  </r>
  <r>
    <x v="3"/>
    <s v="MAKRO SUPERMAYORISTA SAS"/>
    <s v="SEEDPACK"/>
    <x v="262"/>
    <x v="261"/>
    <n v="0"/>
    <n v="0"/>
    <n v="0"/>
    <n v="0"/>
    <n v="60"/>
    <n v="865800"/>
    <n v="0"/>
    <n v="0"/>
    <n v="0"/>
    <n v="0"/>
    <n v="0"/>
    <n v="0"/>
    <n v="10"/>
    <n v="144300"/>
    <n v="1443"/>
    <n v="1350"/>
    <n v="1948050"/>
    <n v="1500"/>
    <n v="2164500"/>
    <n v="1350"/>
    <n v="1948050"/>
  </r>
  <r>
    <x v="3"/>
    <s v="MAKRO SUPERMAYORISTA SAS"/>
    <s v="SEEDPACK"/>
    <x v="263"/>
    <x v="262"/>
    <n v="0"/>
    <n v="0"/>
    <n v="0"/>
    <n v="0"/>
    <n v="60"/>
    <n v="1173600"/>
    <n v="0"/>
    <n v="0"/>
    <n v="185"/>
    <n v="3618600"/>
    <n v="0"/>
    <n v="0"/>
    <n v="41"/>
    <n v="798700"/>
    <n v="1948.0487804878048"/>
    <n v="1500"/>
    <n v="2922073.1707317075"/>
    <n v="1500"/>
    <n v="2922073.1707317075"/>
    <n v="1500"/>
    <n v="2922073.1707317075"/>
  </r>
  <r>
    <x v="3"/>
    <s v="MAKRO SUPERMAYORISTA SAS"/>
    <s v="SEEDPACK"/>
    <x v="264"/>
    <x v="263"/>
    <n v="24"/>
    <n v="197496"/>
    <n v="96"/>
    <n v="789984"/>
    <n v="216"/>
    <n v="1777464"/>
    <n v="144"/>
    <n v="1184976"/>
    <n v="312"/>
    <n v="2567448"/>
    <n v="0"/>
    <n v="0"/>
    <n v="132"/>
    <n v="1086228"/>
    <n v="822.9"/>
    <n v="2000"/>
    <n v="1645800"/>
    <n v="2000"/>
    <n v="1645800"/>
    <n v="2000"/>
    <n v="1645800"/>
  </r>
  <r>
    <x v="3"/>
    <s v="MAKRO SUPERMAYORISTA SAS"/>
    <s v="SEEDPACK"/>
    <x v="265"/>
    <x v="264"/>
    <n v="0"/>
    <n v="0"/>
    <n v="80"/>
    <n v="859760"/>
    <n v="60"/>
    <n v="644820"/>
    <n v="60"/>
    <n v="644820"/>
    <n v="180"/>
    <n v="1934460"/>
    <n v="30"/>
    <n v="317292"/>
    <n v="68"/>
    <n v="733525"/>
    <n v="1078.7132352941176"/>
    <n v="2000"/>
    <n v="2157426.4705882352"/>
    <n v="2000"/>
    <n v="2157426.4705882352"/>
    <n v="2000"/>
    <n v="2157426.4705882352"/>
  </r>
  <r>
    <x v="3"/>
    <s v="MAKRO SUPERMAYORISTA SAS"/>
    <s v="SEEDPACK"/>
    <x v="266"/>
    <x v="265"/>
    <n v="0"/>
    <n v="0"/>
    <n v="20"/>
    <n v="129040"/>
    <n v="80"/>
    <n v="516160"/>
    <n v="20"/>
    <n v="129040"/>
    <n v="20"/>
    <n v="129040"/>
    <n v="30"/>
    <n v="190488"/>
    <n v="29"/>
    <n v="182294"/>
    <n v="419.06666666666666"/>
    <n v="1800"/>
    <n v="754320"/>
    <n v="1800"/>
    <n v="754320"/>
    <n v="1800"/>
    <n v="754320"/>
  </r>
  <r>
    <x v="3"/>
    <s v="MAKRO SUPERMAYORISTA SAS"/>
    <s v="SEEDPACK"/>
    <x v="267"/>
    <x v="266"/>
    <n v="0"/>
    <n v="0"/>
    <n v="72"/>
    <n v="1173528"/>
    <n v="24"/>
    <n v="391176"/>
    <n v="24"/>
    <n v="391176"/>
    <n v="36"/>
    <n v="586764"/>
    <n v="35"/>
    <n v="577450"/>
    <n v="32"/>
    <n v="520016"/>
    <n v="1083.3666666666666"/>
    <n v="630"/>
    <n v="682520.99999999988"/>
    <n v="630"/>
    <n v="682520.99999999988"/>
    <n v="630"/>
    <n v="682520.99999999988"/>
  </r>
  <r>
    <x v="3"/>
    <s v="MAKRO SUPERMAYORISTA SAS"/>
    <s v="SEEDPACK"/>
    <x v="268"/>
    <x v="267"/>
    <n v="45"/>
    <n v="354825"/>
    <n v="270"/>
    <n v="2128950"/>
    <n v="45"/>
    <n v="354825"/>
    <n v="180"/>
    <n v="1419300"/>
    <n v="90"/>
    <n v="709650"/>
    <n v="0"/>
    <n v="0"/>
    <n v="105"/>
    <n v="827925"/>
    <n v="525.66666666666663"/>
    <n v="2160"/>
    <n v="1135440"/>
    <n v="2160"/>
    <n v="1135440"/>
    <n v="2160"/>
    <n v="1135440"/>
  </r>
  <r>
    <x v="3"/>
    <s v="MAKRO SUPERMAYORISTA SAS"/>
    <s v="SEEDPACK"/>
    <x v="104"/>
    <x v="104"/>
    <n v="0"/>
    <n v="0"/>
    <n v="0"/>
    <n v="0"/>
    <n v="0"/>
    <n v="0"/>
    <n v="81"/>
    <n v="878040"/>
    <n v="0"/>
    <n v="0"/>
    <n v="0"/>
    <n v="0"/>
    <n v="14"/>
    <n v="146340"/>
    <n v="696.85714285714289"/>
    <n v="0"/>
    <n v="0"/>
    <n v="0"/>
    <n v="0"/>
    <n v="0"/>
    <n v="0"/>
  </r>
  <r>
    <x v="3"/>
    <s v="MAKRO SUPERMAYORISTA SAS"/>
    <s v="SEEDPACK"/>
    <x v="269"/>
    <x v="268"/>
    <n v="108"/>
    <n v="1170720"/>
    <n v="135"/>
    <n v="1463400"/>
    <n v="27"/>
    <n v="292680"/>
    <n v="108"/>
    <n v="1170720"/>
    <n v="27"/>
    <n v="292680"/>
    <n v="40"/>
    <n v="432051"/>
    <n v="74"/>
    <n v="803709"/>
    <n v="724.06216216216205"/>
    <n v="1710"/>
    <n v="1238146.297297297"/>
    <n v="1710"/>
    <n v="1238146.297297297"/>
    <n v="1710"/>
    <n v="1238146.297297297"/>
  </r>
  <r>
    <x v="3"/>
    <s v="MAKRO SUPERMAYORISTA SAS"/>
    <s v="Salseros"/>
    <x v="108"/>
    <x v="108"/>
    <n v="20"/>
    <n v="191500"/>
    <n v="160"/>
    <n v="1532000"/>
    <n v="280"/>
    <n v="2681000"/>
    <n v="160"/>
    <n v="1532000"/>
    <n v="320"/>
    <n v="3064000"/>
    <n v="207"/>
    <n v="1978833"/>
    <n v="191"/>
    <n v="1829889"/>
    <n v="38.322282722513087"/>
    <n v="100000"/>
    <n v="3832228.2722513089"/>
    <n v="100000"/>
    <n v="3832228.2722513089"/>
    <n v="100000"/>
    <n v="3832228.2722513089"/>
  </r>
  <r>
    <x v="3"/>
    <s v="MAKRO SUPERMAYORISTA SAS"/>
    <s v="Salseros"/>
    <x v="110"/>
    <x v="110"/>
    <n v="60"/>
    <n v="594000"/>
    <n v="160"/>
    <n v="1584000"/>
    <n v="100"/>
    <n v="990000"/>
    <n v="120"/>
    <n v="1188000"/>
    <n v="80"/>
    <n v="792000"/>
    <n v="59"/>
    <n v="584571"/>
    <n v="96"/>
    <n v="955429"/>
    <n v="39.809541666666661"/>
    <n v="35000"/>
    <n v="1393333.958333333"/>
    <n v="35000"/>
    <n v="1393333.958333333"/>
    <n v="35000"/>
    <n v="1393333.958333333"/>
  </r>
  <r>
    <x v="8"/>
    <s v="ANDRES FELIPE MARIN QUINTERO"/>
    <s v="SEEDPACK"/>
    <x v="113"/>
    <x v="113"/>
    <n v="720"/>
    <n v="329040"/>
    <n v="1440"/>
    <n v="658080"/>
    <n v="0"/>
    <n v="0"/>
    <n v="720"/>
    <n v="329040"/>
    <n v="2160"/>
    <n v="987120"/>
    <n v="0"/>
    <n v="0"/>
    <n v="840"/>
    <n v="383880"/>
    <n v="457"/>
    <n v="1092"/>
    <n v="499044"/>
    <n v="1092"/>
    <n v="499044"/>
    <n v="1092"/>
    <n v="499044"/>
  </r>
  <r>
    <x v="8"/>
    <s v="ANDRES FELIPE MARIN QUINTERO"/>
    <s v="SEEDPACK"/>
    <x v="156"/>
    <x v="156"/>
    <n v="450"/>
    <n v="386100"/>
    <n v="300"/>
    <n v="257400"/>
    <n v="300"/>
    <n v="257400"/>
    <n v="150"/>
    <n v="128700"/>
    <n v="600"/>
    <n v="514800"/>
    <n v="0"/>
    <n v="0"/>
    <n v="300"/>
    <n v="257400"/>
    <n v="858"/>
    <n v="390"/>
    <n v="334620"/>
    <n v="390"/>
    <n v="334620"/>
    <n v="390"/>
    <n v="334620"/>
  </r>
  <r>
    <x v="8"/>
    <s v="ANDRES FELIPE MARIN QUINTERO"/>
    <s v="SEEDPACK"/>
    <x v="95"/>
    <x v="95"/>
    <n v="0"/>
    <n v="0"/>
    <n v="700"/>
    <n v="820400"/>
    <n v="400"/>
    <n v="468800"/>
    <n v="400"/>
    <n v="468800"/>
    <n v="900"/>
    <n v="1054800"/>
    <n v="0"/>
    <n v="0"/>
    <n v="400"/>
    <n v="468800"/>
    <n v="1172"/>
    <n v="520"/>
    <n v="609440"/>
    <n v="520"/>
    <n v="609440"/>
    <n v="520"/>
    <n v="609440"/>
  </r>
  <r>
    <x v="8"/>
    <s v="ARARY SAS"/>
    <s v="SEEDPACK"/>
    <x v="94"/>
    <x v="94"/>
    <n v="6000"/>
    <n v="474000"/>
    <n v="4000"/>
    <n v="316000"/>
    <n v="4000"/>
    <n v="316000"/>
    <n v="4000"/>
    <n v="316000"/>
    <n v="8000"/>
    <n v="632000"/>
    <n v="2952"/>
    <n v="233238"/>
    <n v="4825"/>
    <n v="381206"/>
    <n v="79.006424870466319"/>
    <n v="6273"/>
    <n v="495607.30321243522"/>
    <n v="6273"/>
    <n v="495607.30321243522"/>
    <n v="6273"/>
    <n v="495607.30321243522"/>
  </r>
  <r>
    <x v="8"/>
    <s v="ARARY SAS"/>
    <s v="SEEDPACK"/>
    <x v="165"/>
    <x v="165"/>
    <n v="6480"/>
    <n v="1607040"/>
    <n v="0"/>
    <n v="0"/>
    <n v="0"/>
    <n v="0"/>
    <n v="4320"/>
    <n v="1071360"/>
    <n v="0"/>
    <n v="0"/>
    <n v="0"/>
    <n v="0"/>
    <n v="1800"/>
    <n v="446400"/>
    <n v="248"/>
    <n v="2340"/>
    <n v="580320"/>
    <n v="2340"/>
    <n v="580320"/>
    <n v="2340"/>
    <n v="580320"/>
  </r>
  <r>
    <x v="8"/>
    <s v="ARARY SAS"/>
    <s v="SEEDPACK"/>
    <x v="113"/>
    <x v="113"/>
    <n v="5040"/>
    <n v="2187360"/>
    <n v="0"/>
    <n v="0"/>
    <n v="0"/>
    <n v="0"/>
    <n v="1440"/>
    <n v="624960"/>
    <n v="720"/>
    <n v="312480"/>
    <n v="2126"/>
    <n v="922560"/>
    <n v="1554"/>
    <n v="674560"/>
    <n v="434.07979407979406"/>
    <n v="2021"/>
    <n v="877275.26383526379"/>
    <n v="2021"/>
    <n v="877275.26383526379"/>
    <n v="2021"/>
    <n v="877275.26383526379"/>
  </r>
  <r>
    <x v="8"/>
    <s v="ARARY SAS"/>
    <s v="SEEDPACK"/>
    <x v="123"/>
    <x v="123"/>
    <n v="1500"/>
    <n v="907500"/>
    <n v="500"/>
    <n v="302500"/>
    <n v="500"/>
    <n v="302500"/>
    <n v="1000"/>
    <n v="605000"/>
    <n v="0"/>
    <n v="0"/>
    <n v="0"/>
    <n v="0"/>
    <n v="583"/>
    <n v="352917"/>
    <n v="605.34648370497428"/>
    <n v="758"/>
    <n v="458852.6346483705"/>
    <n v="758"/>
    <n v="458852.6346483705"/>
    <n v="758"/>
    <n v="458852.6346483705"/>
  </r>
  <r>
    <x v="8"/>
    <s v="ARARY SAS"/>
    <s v="SEEDPACK"/>
    <x v="184"/>
    <x v="184"/>
    <n v="2640"/>
    <n v="1523280"/>
    <n v="0"/>
    <n v="0"/>
    <n v="0"/>
    <n v="0"/>
    <n v="1980"/>
    <n v="1142460"/>
    <n v="660"/>
    <n v="380820"/>
    <n v="0"/>
    <n v="0"/>
    <n v="880"/>
    <n v="507760"/>
    <n v="577"/>
    <n v="1144"/>
    <n v="660088"/>
    <n v="1144"/>
    <n v="660088"/>
    <n v="1144"/>
    <n v="660088"/>
  </r>
  <r>
    <x v="8"/>
    <s v="ARARY SAS"/>
    <s v="SEEDPACK"/>
    <x v="270"/>
    <x v="269"/>
    <n v="0"/>
    <n v="0"/>
    <n v="0"/>
    <n v="0"/>
    <n v="160"/>
    <n v="165760"/>
    <n v="0"/>
    <n v="0"/>
    <n v="0"/>
    <n v="0"/>
    <n v="0"/>
    <n v="0"/>
    <n v="27"/>
    <n v="27627"/>
    <n v="1023.2222222222222"/>
    <n v="35"/>
    <n v="35812.777777777774"/>
    <n v="35"/>
    <n v="35812.777777777774"/>
    <n v="35"/>
    <n v="35812.777777777774"/>
  </r>
  <r>
    <x v="8"/>
    <s v="ARARY SAS"/>
    <s v="SEEDPACK"/>
    <x v="122"/>
    <x v="122"/>
    <n v="1350"/>
    <n v="940950"/>
    <n v="4050"/>
    <n v="2822850"/>
    <n v="1800"/>
    <n v="1254600"/>
    <n v="2700"/>
    <n v="1881900"/>
    <n v="3900"/>
    <n v="2718300"/>
    <n v="1107"/>
    <n v="771679"/>
    <n v="2485"/>
    <n v="1731713"/>
    <n v="696.86639839034206"/>
    <n v="3229"/>
    <n v="2250181.6004024143"/>
    <n v="3229"/>
    <n v="2250181.6004024143"/>
    <n v="3229"/>
    <n v="2250181.6004024143"/>
  </r>
  <r>
    <x v="8"/>
    <s v="ARARY SAS"/>
    <s v="SEEDPACK"/>
    <x v="98"/>
    <x v="98"/>
    <n v="2700"/>
    <n v="2556900"/>
    <n v="500"/>
    <n v="473500"/>
    <n v="1000"/>
    <n v="947000"/>
    <n v="2400"/>
    <n v="2272800"/>
    <n v="1900"/>
    <n v="1799300"/>
    <n v="1771"/>
    <n v="1677543"/>
    <n v="1712"/>
    <n v="1621174"/>
    <n v="946.94742990654208"/>
    <n v="2225"/>
    <n v="2106958.0315420562"/>
    <n v="2225"/>
    <n v="2106958.0315420562"/>
    <n v="2225"/>
    <n v="2106958.0315420562"/>
  </r>
  <r>
    <x v="8"/>
    <s v="ARARY SAS"/>
    <s v="SEEDPACK"/>
    <x v="130"/>
    <x v="130"/>
    <n v="200"/>
    <n v="272200"/>
    <n v="0"/>
    <n v="0"/>
    <n v="0"/>
    <n v="0"/>
    <n v="0"/>
    <n v="0"/>
    <n v="0"/>
    <n v="0"/>
    <n v="0"/>
    <n v="0"/>
    <n v="33"/>
    <n v="45367"/>
    <n v="1374.7575757575758"/>
    <n v="43"/>
    <n v="59114.57575757576"/>
    <n v="43"/>
    <n v="59114.57575757576"/>
    <n v="43"/>
    <n v="59114.57575757576"/>
  </r>
  <r>
    <x v="8"/>
    <s v="ARARY SAS"/>
    <s v="SEEDPACK"/>
    <x v="118"/>
    <x v="118"/>
    <n v="300"/>
    <n v="117000"/>
    <n v="600"/>
    <n v="234000"/>
    <n v="300"/>
    <n v="117000"/>
    <n v="900"/>
    <n v="351000"/>
    <n v="0"/>
    <n v="0"/>
    <n v="0"/>
    <n v="0"/>
    <n v="350"/>
    <n v="136500"/>
    <n v="390"/>
    <n v="455"/>
    <n v="177450"/>
    <n v="455"/>
    <n v="177450"/>
    <n v="455"/>
    <n v="177450"/>
  </r>
  <r>
    <x v="8"/>
    <s v="ARARY SAS"/>
    <s v="SEEDPACK"/>
    <x v="119"/>
    <x v="119"/>
    <n v="0"/>
    <n v="0"/>
    <n v="180"/>
    <n v="109800"/>
    <n v="180"/>
    <n v="109800"/>
    <n v="0"/>
    <n v="0"/>
    <n v="0"/>
    <n v="0"/>
    <n v="266"/>
    <n v="162086"/>
    <n v="104"/>
    <n v="63614"/>
    <n v="611.67307692307691"/>
    <n v="136"/>
    <n v="83187.538461538454"/>
    <n v="136"/>
    <n v="83187.538461538454"/>
    <n v="136"/>
    <n v="83187.538461538454"/>
  </r>
  <r>
    <x v="8"/>
    <s v="ARARY SAS"/>
    <s v="SEEDPACK"/>
    <x v="101"/>
    <x v="101"/>
    <n v="1080"/>
    <n v="1035720"/>
    <n v="90"/>
    <n v="86310"/>
    <n v="90"/>
    <n v="86310"/>
    <n v="450"/>
    <n v="431550"/>
    <n v="360"/>
    <n v="345240"/>
    <n v="133"/>
    <n v="127410"/>
    <n v="367"/>
    <n v="352090"/>
    <n v="959.37329700272483"/>
    <n v="477"/>
    <n v="457621.06267029973"/>
    <n v="477"/>
    <n v="457621.06267029973"/>
    <n v="477"/>
    <n v="457621.06267029973"/>
  </r>
  <r>
    <x v="8"/>
    <s v="ARARY SAS"/>
    <s v="SEEDPACK"/>
    <x v="102"/>
    <x v="102"/>
    <n v="1800"/>
    <n v="876600"/>
    <n v="2520"/>
    <n v="1227240"/>
    <n v="720"/>
    <n v="350640"/>
    <n v="0"/>
    <n v="0"/>
    <n v="360"/>
    <n v="175320"/>
    <n v="1594"/>
    <n v="776417"/>
    <n v="1166"/>
    <n v="567703"/>
    <n v="486.88078902229847"/>
    <n v="1515"/>
    <n v="737624.39536878222"/>
    <n v="1515"/>
    <n v="737624.39536878222"/>
    <n v="1515"/>
    <n v="737624.39536878222"/>
  </r>
  <r>
    <x v="8"/>
    <s v="ARARY SAS"/>
    <s v="SEEDPACK"/>
    <x v="104"/>
    <x v="104"/>
    <n v="1260"/>
    <n v="816480"/>
    <n v="840"/>
    <n v="544320"/>
    <n v="210"/>
    <n v="136080"/>
    <n v="630"/>
    <n v="408240"/>
    <n v="420"/>
    <n v="272160"/>
    <n v="620"/>
    <n v="401760"/>
    <n v="663"/>
    <n v="429840"/>
    <n v="648.32579185520365"/>
    <n v="862"/>
    <n v="558856.83257918549"/>
    <n v="862"/>
    <n v="558856.83257918549"/>
    <n v="862"/>
    <n v="558856.83257918549"/>
  </r>
  <r>
    <x v="8"/>
    <s v="ARARY SAS"/>
    <s v="Salseros"/>
    <x v="110"/>
    <x v="110"/>
    <n v="5000"/>
    <n v="169500"/>
    <n v="5000"/>
    <n v="169500"/>
    <n v="5000"/>
    <n v="169500"/>
    <n v="0"/>
    <n v="0"/>
    <n v="5000"/>
    <n v="169500"/>
    <n v="7381"/>
    <n v="250214"/>
    <n v="4563"/>
    <n v="154702"/>
    <n v="33.903572211264517"/>
    <n v="5932"/>
    <n v="201115.9903572211"/>
    <n v="5932"/>
    <n v="201115.9903572211"/>
    <n v="5932"/>
    <n v="201115.9903572211"/>
  </r>
  <r>
    <x v="8"/>
    <s v="ARARY SAS"/>
    <s v="Salseros"/>
    <x v="132"/>
    <x v="132"/>
    <n v="0"/>
    <n v="0"/>
    <n v="5000"/>
    <n v="200000"/>
    <n v="5000"/>
    <n v="200000"/>
    <n v="0"/>
    <n v="0"/>
    <n v="0"/>
    <n v="0"/>
    <n v="0"/>
    <n v="0"/>
    <n v="1667"/>
    <n v="66667"/>
    <n v="39.992201559688063"/>
    <n v="2167"/>
    <n v="86663.100779844026"/>
    <n v="2167"/>
    <n v="86663.100779844026"/>
    <n v="2167"/>
    <n v="86663.100779844026"/>
  </r>
  <r>
    <x v="8"/>
    <s v="BONNIPLAST SAS"/>
    <s v="SEEDPACK"/>
    <x v="113"/>
    <x v="113"/>
    <n v="3600"/>
    <n v="1702800"/>
    <n v="0"/>
    <n v="0"/>
    <n v="720"/>
    <n v="340560"/>
    <n v="1440"/>
    <n v="681120"/>
    <n v="2880"/>
    <n v="1362240"/>
    <n v="0"/>
    <n v="0"/>
    <n v="1440"/>
    <n v="681120"/>
    <n v="473"/>
    <n v="1872"/>
    <n v="885456"/>
    <n v="1872"/>
    <n v="885456"/>
    <n v="1872"/>
    <n v="885456"/>
  </r>
  <r>
    <x v="8"/>
    <s v="BONNIPLAST SAS"/>
    <s v="SEEDPACK"/>
    <x v="123"/>
    <x v="123"/>
    <n v="1000"/>
    <n v="628000"/>
    <n v="2000"/>
    <n v="1256000"/>
    <n v="1000"/>
    <n v="628000"/>
    <n v="0"/>
    <n v="0"/>
    <n v="0"/>
    <n v="0"/>
    <n v="0"/>
    <n v="0"/>
    <n v="667"/>
    <n v="418667"/>
    <n v="627.6866566716642"/>
    <n v="867"/>
    <n v="544204.33133433282"/>
    <n v="867"/>
    <n v="544204.33133433282"/>
    <n v="867"/>
    <n v="544204.33133433282"/>
  </r>
  <r>
    <x v="8"/>
    <s v="BONNIPLAST SAS"/>
    <s v="SEEDPACK"/>
    <x v="95"/>
    <x v="95"/>
    <n v="200"/>
    <n v="243800"/>
    <n v="0"/>
    <n v="0"/>
    <n v="0"/>
    <n v="0"/>
    <n v="0"/>
    <n v="0"/>
    <n v="0"/>
    <n v="0"/>
    <n v="0"/>
    <n v="0"/>
    <n v="33"/>
    <n v="40633"/>
    <n v="1231.3030303030303"/>
    <n v="43"/>
    <n v="52946.030303030304"/>
    <n v="43"/>
    <n v="52946.030303030304"/>
    <n v="43"/>
    <n v="52946.030303030304"/>
  </r>
  <r>
    <x v="8"/>
    <s v="BONNIPLAST SAS"/>
    <s v="SEEDPACK"/>
    <x v="118"/>
    <x v="118"/>
    <n v="4800"/>
    <n v="2251200"/>
    <n v="900"/>
    <n v="422100"/>
    <n v="1500"/>
    <n v="703500"/>
    <n v="1800"/>
    <n v="844200"/>
    <n v="2100"/>
    <n v="984900"/>
    <n v="0"/>
    <n v="0"/>
    <n v="1850"/>
    <n v="867650"/>
    <n v="469"/>
    <n v="2405"/>
    <n v="1127945"/>
    <n v="2405"/>
    <n v="1127945"/>
    <n v="2405"/>
    <n v="1127945"/>
  </r>
  <r>
    <x v="8"/>
    <s v="BONNIPLAST SAS"/>
    <s v="SEEDPACK"/>
    <x v="119"/>
    <x v="119"/>
    <n v="0"/>
    <n v="0"/>
    <n v="0"/>
    <n v="0"/>
    <n v="0"/>
    <n v="0"/>
    <n v="0"/>
    <n v="0"/>
    <n v="180"/>
    <n v="114660"/>
    <n v="0"/>
    <n v="0"/>
    <n v="30"/>
    <n v="19110"/>
    <n v="637"/>
    <n v="39"/>
    <n v="24843"/>
    <n v="39"/>
    <n v="24843"/>
    <n v="39"/>
    <n v="24843"/>
  </r>
  <r>
    <x v="8"/>
    <s v="BONNIPLAST SAS"/>
    <s v="SEEDPACK"/>
    <x v="102"/>
    <x v="102"/>
    <n v="1440"/>
    <n v="712800"/>
    <n v="0"/>
    <n v="0"/>
    <n v="0"/>
    <n v="0"/>
    <n v="0"/>
    <n v="0"/>
    <n v="360"/>
    <n v="178200"/>
    <n v="0"/>
    <n v="0"/>
    <n v="300"/>
    <n v="148500"/>
    <n v="495"/>
    <n v="390"/>
    <n v="193050"/>
    <n v="390"/>
    <n v="193050"/>
    <n v="390"/>
    <n v="193050"/>
  </r>
  <r>
    <x v="8"/>
    <s v="BONNIPLAST SAS"/>
    <s v="SEEDPACK"/>
    <x v="103"/>
    <x v="103"/>
    <n v="1620"/>
    <n v="993060"/>
    <n v="0"/>
    <n v="0"/>
    <n v="0"/>
    <n v="0"/>
    <n v="0"/>
    <n v="0"/>
    <n v="540"/>
    <n v="331020"/>
    <n v="1594"/>
    <n v="977297"/>
    <n v="626"/>
    <n v="383563"/>
    <n v="612.72044728434503"/>
    <n v="813"/>
    <n v="498141.72364217252"/>
    <n v="813"/>
    <n v="498141.72364217252"/>
    <n v="813"/>
    <n v="498141.72364217252"/>
  </r>
  <r>
    <x v="8"/>
    <s v="BONNIPLAST SAS"/>
    <s v="SEEDPACK"/>
    <x v="104"/>
    <x v="104"/>
    <n v="840"/>
    <n v="577080"/>
    <n v="420"/>
    <n v="288540"/>
    <n v="420"/>
    <n v="288540"/>
    <n v="0"/>
    <n v="0"/>
    <n v="420"/>
    <n v="288540"/>
    <n v="0"/>
    <n v="0"/>
    <n v="350"/>
    <n v="240450"/>
    <n v="687"/>
    <n v="455"/>
    <n v="312585"/>
    <n v="455"/>
    <n v="312585"/>
    <n v="455"/>
    <n v="312585"/>
  </r>
  <r>
    <x v="8"/>
    <s v="C.B. HOTELES Y RESORTS S.A."/>
    <s v="SEEDPACK"/>
    <x v="271"/>
    <x v="270"/>
    <n v="0"/>
    <n v="0"/>
    <n v="0"/>
    <n v="0"/>
    <n v="0"/>
    <n v="0"/>
    <n v="3000"/>
    <n v="5421000"/>
    <n v="3000"/>
    <n v="5421000"/>
    <n v="0"/>
    <n v="0"/>
    <n v="1000"/>
    <n v="1807000"/>
    <n v="1807"/>
    <n v="1300"/>
    <n v="2349100"/>
    <n v="1300"/>
    <n v="2349100"/>
    <n v="1300"/>
    <n v="2349100"/>
  </r>
  <r>
    <x v="8"/>
    <s v="COCOROLLO EL ALTICO S.A.S."/>
    <s v="SEEDPACK"/>
    <x v="272"/>
    <x v="271"/>
    <n v="0"/>
    <n v="0"/>
    <n v="0"/>
    <n v="0"/>
    <n v="4500"/>
    <n v="427500"/>
    <n v="0"/>
    <n v="0"/>
    <n v="0"/>
    <n v="0"/>
    <n v="0"/>
    <n v="0"/>
    <n v="750"/>
    <n v="71250"/>
    <n v="95"/>
    <n v="4000"/>
    <n v="380000"/>
    <n v="0"/>
    <n v="0"/>
    <n v="0"/>
    <n v="0"/>
  </r>
  <r>
    <x v="8"/>
    <s v="COCOROLLO EL LIMONAR SAS"/>
    <s v="SEEDPACK"/>
    <x v="272"/>
    <x v="271"/>
    <n v="0"/>
    <n v="0"/>
    <n v="0"/>
    <n v="0"/>
    <n v="9000"/>
    <n v="855000"/>
    <n v="0"/>
    <n v="0"/>
    <n v="0"/>
    <n v="0"/>
    <n v="0"/>
    <n v="0"/>
    <n v="1500"/>
    <n v="142500"/>
    <n v="95"/>
    <n v="5000"/>
    <n v="475000"/>
    <n v="0"/>
    <n v="0"/>
    <n v="0"/>
    <n v="0"/>
  </r>
  <r>
    <x v="8"/>
    <s v="COCOROLLO PALMAS SAS"/>
    <s v="SEEDPACK"/>
    <x v="272"/>
    <x v="271"/>
    <n v="0"/>
    <n v="0"/>
    <n v="0"/>
    <n v="0"/>
    <n v="4500"/>
    <n v="427500"/>
    <n v="0"/>
    <n v="0"/>
    <n v="0"/>
    <n v="0"/>
    <n v="0"/>
    <n v="0"/>
    <n v="750"/>
    <n v="71250"/>
    <n v="95"/>
    <n v="4000"/>
    <n v="380000"/>
    <n v="0"/>
    <n v="0"/>
    <n v="0"/>
    <n v="0"/>
  </r>
  <r>
    <x v="8"/>
    <s v="COMERCIALIZADORA DISTRITODO DEL CARIBE SAS"/>
    <s v="PLATOS"/>
    <x v="167"/>
    <x v="167"/>
    <n v="0"/>
    <n v="0"/>
    <n v="1240"/>
    <n v="261640"/>
    <n v="0"/>
    <n v="0"/>
    <n v="0"/>
    <n v="0"/>
    <n v="0"/>
    <n v="0"/>
    <n v="0"/>
    <n v="0"/>
    <n v="207"/>
    <n v="43607"/>
    <n v="210.66183574879227"/>
    <n v="269"/>
    <n v="56668.033816425122"/>
    <n v="269"/>
    <n v="56668.033816425122"/>
    <n v="269"/>
    <n v="56668.033816425122"/>
  </r>
  <r>
    <x v="8"/>
    <s v="COMERCIALIZADORA DISTRITODO DEL CARIBE SAS"/>
    <s v="PLATOS"/>
    <x v="168"/>
    <x v="168"/>
    <n v="0"/>
    <n v="0"/>
    <n v="1240"/>
    <n v="431520"/>
    <n v="0"/>
    <n v="0"/>
    <n v="0"/>
    <n v="0"/>
    <n v="0"/>
    <n v="0"/>
    <n v="0"/>
    <n v="0"/>
    <n v="207"/>
    <n v="71920"/>
    <n v="347.43961352657004"/>
    <n v="269"/>
    <n v="93461.256038647334"/>
    <n v="269"/>
    <n v="93461.256038647334"/>
    <n v="269"/>
    <n v="93461.256038647334"/>
  </r>
  <r>
    <x v="8"/>
    <s v="COMERCIALIZADORA DISTRITODO DEL CARIBE SAS"/>
    <s v="SEEDPACK"/>
    <x v="113"/>
    <x v="113"/>
    <n v="0"/>
    <n v="0"/>
    <n v="720"/>
    <n v="329760"/>
    <n v="0"/>
    <n v="0"/>
    <n v="0"/>
    <n v="0"/>
    <n v="720"/>
    <n v="329760"/>
    <n v="0"/>
    <n v="0"/>
    <n v="240"/>
    <n v="109920"/>
    <n v="458"/>
    <n v="312"/>
    <n v="142896"/>
    <n v="312"/>
    <n v="142896"/>
    <n v="312"/>
    <n v="142896"/>
  </r>
  <r>
    <x v="8"/>
    <s v="COMERCIALIZADORA DISTRITODO DEL CARIBE SAS"/>
    <s v="SEEDPACK"/>
    <x v="98"/>
    <x v="98"/>
    <n v="800"/>
    <n v="805600"/>
    <n v="1600"/>
    <n v="1611200"/>
    <n v="1500"/>
    <n v="1510500"/>
    <n v="2000"/>
    <n v="2014000"/>
    <n v="500"/>
    <n v="503500"/>
    <n v="0"/>
    <n v="0"/>
    <n v="1067"/>
    <n v="1074133"/>
    <n v="1006.6850984067479"/>
    <n v="1387"/>
    <n v="1396272.2314901594"/>
    <n v="1387"/>
    <n v="1396272.2314901594"/>
    <n v="1387"/>
    <n v="1396272.2314901594"/>
  </r>
  <r>
    <x v="8"/>
    <s v="COMERCIALIZADORA DISTRITODO DEL CARIBE SAS"/>
    <s v="SEEDPACK"/>
    <x v="99"/>
    <x v="99"/>
    <n v="200"/>
    <n v="339600"/>
    <n v="1600"/>
    <n v="2716800"/>
    <n v="1000"/>
    <n v="1698000"/>
    <n v="0"/>
    <n v="0"/>
    <n v="0"/>
    <n v="0"/>
    <n v="0"/>
    <n v="0"/>
    <n v="467"/>
    <n v="792400"/>
    <n v="1696.7880085653105"/>
    <n v="607"/>
    <n v="1029950.3211991435"/>
    <n v="607"/>
    <n v="1029950.3211991435"/>
    <n v="607"/>
    <n v="1029950.3211991435"/>
  </r>
  <r>
    <x v="8"/>
    <s v="COMERCIALIZADORA DISTRITODO DEL CARIBE SAS"/>
    <s v="SEEDPACK"/>
    <x v="100"/>
    <x v="100"/>
    <n v="100"/>
    <n v="108500"/>
    <n v="100"/>
    <n v="108500"/>
    <n v="100"/>
    <n v="108500"/>
    <n v="0"/>
    <n v="0"/>
    <n v="0"/>
    <n v="0"/>
    <n v="0"/>
    <n v="0"/>
    <n v="50"/>
    <n v="54250"/>
    <n v="1085"/>
    <n v="65"/>
    <n v="70525"/>
    <n v="65"/>
    <n v="70525"/>
    <n v="65"/>
    <n v="70525"/>
  </r>
  <r>
    <x v="8"/>
    <s v="COMERCIALIZADORA DISTRITODO DEL CARIBE SAS"/>
    <s v="SEEDPACK"/>
    <x v="131"/>
    <x v="131"/>
    <n v="100"/>
    <n v="143100"/>
    <n v="0"/>
    <n v="0"/>
    <n v="0"/>
    <n v="0"/>
    <n v="100"/>
    <n v="143100"/>
    <n v="0"/>
    <n v="0"/>
    <n v="0"/>
    <n v="0"/>
    <n v="33"/>
    <n v="47700"/>
    <n v="1445.4545454545455"/>
    <n v="43"/>
    <n v="62154.545454545456"/>
    <n v="43"/>
    <n v="62154.545454545456"/>
    <n v="43"/>
    <n v="62154.545454545456"/>
  </r>
  <r>
    <x v="8"/>
    <s v="COMERCIALIZADORA DISTRITODO DEL CARIBE SAS"/>
    <s v="SEEDPACK"/>
    <x v="101"/>
    <x v="101"/>
    <n v="0"/>
    <n v="0"/>
    <n v="0"/>
    <n v="0"/>
    <n v="180"/>
    <n v="176220"/>
    <n v="90"/>
    <n v="88110"/>
    <n v="90"/>
    <n v="88110"/>
    <n v="0"/>
    <n v="0"/>
    <n v="60"/>
    <n v="58740"/>
    <n v="979"/>
    <n v="78"/>
    <n v="76362"/>
    <n v="78"/>
    <n v="76362"/>
    <n v="78"/>
    <n v="76362"/>
  </r>
  <r>
    <x v="8"/>
    <s v="COMERCIALIZADORA DISTRITODO DEL CARIBE SAS"/>
    <s v="SEEDPACK"/>
    <x v="104"/>
    <x v="104"/>
    <n v="0"/>
    <n v="0"/>
    <n v="420"/>
    <n v="277620"/>
    <n v="420"/>
    <n v="277620"/>
    <n v="0"/>
    <n v="0"/>
    <n v="0"/>
    <n v="0"/>
    <n v="0"/>
    <n v="0"/>
    <n v="140"/>
    <n v="92540"/>
    <n v="661"/>
    <n v="182"/>
    <n v="120302"/>
    <n v="182"/>
    <n v="120302"/>
    <n v="182"/>
    <n v="120302"/>
  </r>
  <r>
    <x v="8"/>
    <s v="COUNTRYPLAS LA 60 SAS"/>
    <s v="SEEDPACK"/>
    <x v="94"/>
    <x v="94"/>
    <n v="20000"/>
    <n v="1720000"/>
    <n v="36000"/>
    <n v="3096000"/>
    <n v="12000"/>
    <n v="1032000"/>
    <n v="50000"/>
    <n v="4300000"/>
    <n v="12000"/>
    <n v="1032000"/>
    <n v="94476"/>
    <n v="8124952"/>
    <n v="37413"/>
    <n v="3217492"/>
    <n v="85.999305054392863"/>
    <n v="50000"/>
    <n v="4299965.2527196435"/>
    <n v="50000"/>
    <n v="4299965.2527196435"/>
    <n v="48637"/>
    <n v="4182748.1999305058"/>
  </r>
  <r>
    <x v="8"/>
    <s v="COUNTRYPLAS LA 60 SAS"/>
    <s v="SEEDPACK"/>
    <x v="113"/>
    <x v="113"/>
    <n v="720"/>
    <n v="340560"/>
    <n v="0"/>
    <n v="0"/>
    <n v="720"/>
    <n v="340560"/>
    <n v="720"/>
    <n v="340560"/>
    <n v="720"/>
    <n v="340560"/>
    <n v="0"/>
    <n v="0"/>
    <n v="480"/>
    <n v="227040"/>
    <n v="473"/>
    <n v="624"/>
    <n v="295152"/>
    <n v="624"/>
    <n v="295152"/>
    <n v="624"/>
    <n v="295152"/>
  </r>
  <r>
    <x v="8"/>
    <s v="COUNTRYPLAS LA 60 SAS"/>
    <s v="SEEDPACK"/>
    <x v="95"/>
    <x v="95"/>
    <n v="0"/>
    <n v="0"/>
    <n v="200"/>
    <n v="243800"/>
    <n v="0"/>
    <n v="0"/>
    <n v="0"/>
    <n v="0"/>
    <n v="0"/>
    <n v="0"/>
    <n v="0"/>
    <n v="0"/>
    <n v="33"/>
    <n v="40633"/>
    <n v="1231.3030303030303"/>
    <n v="43"/>
    <n v="52946.030303030304"/>
    <n v="43"/>
    <n v="52946.030303030304"/>
    <n v="43"/>
    <n v="52946.030303030304"/>
  </r>
  <r>
    <x v="8"/>
    <s v="COUNTRYPLAS LA 60 SAS"/>
    <s v="SEEDPACK"/>
    <x v="169"/>
    <x v="169"/>
    <n v="0"/>
    <n v="0"/>
    <n v="0"/>
    <n v="0"/>
    <n v="0"/>
    <n v="0"/>
    <n v="0"/>
    <n v="0"/>
    <n v="50"/>
    <n v="191550"/>
    <n v="0"/>
    <n v="0"/>
    <n v="8"/>
    <n v="31925"/>
    <n v="3990.625"/>
    <n v="11"/>
    <n v="43896.875"/>
    <n v="11"/>
    <n v="43896.875"/>
    <n v="11"/>
    <n v="43896.875"/>
  </r>
  <r>
    <x v="8"/>
    <s v="COUNTRYPLAS LA 60 SAS"/>
    <s v="SEEDPACK"/>
    <x v="145"/>
    <x v="145"/>
    <n v="0"/>
    <n v="0"/>
    <n v="0"/>
    <n v="0"/>
    <n v="0"/>
    <n v="0"/>
    <n v="0"/>
    <n v="0"/>
    <n v="50"/>
    <n v="154600"/>
    <n v="0"/>
    <n v="0"/>
    <n v="8"/>
    <n v="25767"/>
    <n v="3220.875"/>
    <n v="11"/>
    <n v="35429.625"/>
    <n v="11"/>
    <n v="35429.625"/>
    <n v="11"/>
    <n v="35429.625"/>
  </r>
  <r>
    <x v="8"/>
    <s v="COUNTRYPLAS LA 60 SAS"/>
    <s v="SEEDPACK"/>
    <x v="122"/>
    <x v="122"/>
    <n v="0"/>
    <n v="0"/>
    <n v="0"/>
    <n v="0"/>
    <n v="0"/>
    <n v="0"/>
    <n v="0"/>
    <n v="0"/>
    <n v="450"/>
    <n v="390600"/>
    <n v="0"/>
    <n v="0"/>
    <n v="75"/>
    <n v="65100"/>
    <n v="868"/>
    <n v="98"/>
    <n v="85064"/>
    <n v="98"/>
    <n v="85064"/>
    <n v="98"/>
    <n v="85064"/>
  </r>
  <r>
    <x v="8"/>
    <s v="COUNTRYPLAS LA 60 SAS"/>
    <s v="SEEDPACK"/>
    <x v="118"/>
    <x v="118"/>
    <n v="600"/>
    <n v="281400"/>
    <n v="600"/>
    <n v="281400"/>
    <n v="0"/>
    <n v="0"/>
    <n v="1800"/>
    <n v="844200"/>
    <n v="300"/>
    <n v="140700"/>
    <n v="1771"/>
    <n v="830800"/>
    <n v="845"/>
    <n v="396417"/>
    <n v="469.13254437869824"/>
    <n v="1099"/>
    <n v="515576.66627218935"/>
    <n v="1099"/>
    <n v="515576.66627218935"/>
    <n v="1099"/>
    <n v="515576.66627218935"/>
  </r>
  <r>
    <x v="8"/>
    <s v="COUNTRYPLAS LA 60 SAS"/>
    <s v="SEEDPACK"/>
    <x v="103"/>
    <x v="103"/>
    <n v="0"/>
    <n v="0"/>
    <n v="0"/>
    <n v="0"/>
    <n v="0"/>
    <n v="0"/>
    <n v="0"/>
    <n v="0"/>
    <n v="540"/>
    <n v="331020"/>
    <n v="0"/>
    <n v="0"/>
    <n v="90"/>
    <n v="55170"/>
    <n v="613"/>
    <n v="117"/>
    <n v="71721"/>
    <n v="117"/>
    <n v="71721"/>
    <n v="117"/>
    <n v="71721"/>
  </r>
  <r>
    <x v="8"/>
    <s v="COUNTRYPLAS LA 60 SAS"/>
    <s v="Salseros"/>
    <x v="110"/>
    <x v="110"/>
    <n v="0"/>
    <n v="0"/>
    <n v="0"/>
    <n v="0"/>
    <n v="5000"/>
    <n v="183000"/>
    <n v="0"/>
    <n v="0"/>
    <n v="0"/>
    <n v="0"/>
    <n v="7381"/>
    <n v="270143"/>
    <n v="2063"/>
    <n v="75524"/>
    <n v="36.608822103732429"/>
    <n v="2683"/>
    <n v="98221.469704314106"/>
    <n v="2683"/>
    <n v="98221.469704314106"/>
    <n v="2683"/>
    <n v="98221.469704314106"/>
  </r>
  <r>
    <x v="8"/>
    <s v="D' CARNES SA"/>
    <s v="PLATOS"/>
    <x v="115"/>
    <x v="115"/>
    <n v="1440"/>
    <n v="479520"/>
    <n v="0"/>
    <n v="0"/>
    <n v="0"/>
    <n v="0"/>
    <n v="0"/>
    <n v="0"/>
    <n v="0"/>
    <n v="0"/>
    <n v="0"/>
    <n v="0"/>
    <n v="240"/>
    <n v="79920"/>
    <n v="333"/>
    <n v="312"/>
    <n v="103896"/>
    <n v="312"/>
    <n v="103896"/>
    <n v="312"/>
    <n v="103896"/>
  </r>
  <r>
    <x v="8"/>
    <s v="D' CARNES SA"/>
    <s v="SEEDPACK"/>
    <x v="136"/>
    <x v="136"/>
    <n v="1300"/>
    <n v="425100"/>
    <n v="0"/>
    <n v="0"/>
    <n v="0"/>
    <n v="0"/>
    <n v="0"/>
    <n v="0"/>
    <n v="0"/>
    <n v="0"/>
    <n v="0"/>
    <n v="0"/>
    <n v="217"/>
    <n v="70850"/>
    <n v="326.49769585253455"/>
    <n v="282"/>
    <n v="92072.350230414741"/>
    <n v="282"/>
    <n v="92072.350230414741"/>
    <n v="282"/>
    <n v="92072.350230414741"/>
  </r>
  <r>
    <x v="8"/>
    <s v="D' CARNES SA"/>
    <s v="SEEDPACK"/>
    <x v="112"/>
    <x v="112"/>
    <n v="700"/>
    <n v="308700"/>
    <n v="2800"/>
    <n v="1234800"/>
    <n v="0"/>
    <n v="0"/>
    <n v="0"/>
    <n v="0"/>
    <n v="0"/>
    <n v="0"/>
    <n v="0"/>
    <n v="0"/>
    <n v="584"/>
    <n v="257250"/>
    <n v="440.49657534246575"/>
    <n v="759"/>
    <n v="334336.90068493149"/>
    <n v="759"/>
    <n v="334336.90068493149"/>
    <n v="759"/>
    <n v="334336.90068493149"/>
  </r>
  <r>
    <x v="8"/>
    <s v="D' CARNES SA"/>
    <s v="SEEDPACK"/>
    <x v="114"/>
    <x v="114"/>
    <n v="0"/>
    <n v="0"/>
    <n v="0"/>
    <n v="0"/>
    <n v="0"/>
    <n v="0"/>
    <n v="2400"/>
    <n v="784800"/>
    <n v="0"/>
    <n v="0"/>
    <n v="0"/>
    <n v="0"/>
    <n v="400"/>
    <n v="130800"/>
    <n v="327"/>
    <n v="520"/>
    <n v="170040"/>
    <n v="520"/>
    <n v="170040"/>
    <n v="520"/>
    <n v="170040"/>
  </r>
  <r>
    <x v="8"/>
    <s v="D' CARNES SA"/>
    <s v="SEEDPACK"/>
    <x v="101"/>
    <x v="101"/>
    <n v="0"/>
    <n v="0"/>
    <n v="0"/>
    <n v="0"/>
    <n v="0"/>
    <n v="0"/>
    <n v="0"/>
    <n v="0"/>
    <n v="0"/>
    <n v="0"/>
    <n v="133"/>
    <n v="130067"/>
    <n v="22"/>
    <n v="21678"/>
    <n v="985.36363636363637"/>
    <n v="29"/>
    <n v="28575.545454545456"/>
    <n v="29"/>
    <n v="28575.545454545456"/>
    <n v="29"/>
    <n v="28575.545454545456"/>
  </r>
  <r>
    <x v="8"/>
    <s v="D' CARNES SA"/>
    <s v="SEEDPACK"/>
    <x v="104"/>
    <x v="104"/>
    <n v="0"/>
    <n v="0"/>
    <n v="0"/>
    <n v="0"/>
    <n v="0"/>
    <n v="0"/>
    <n v="0"/>
    <n v="0"/>
    <n v="0"/>
    <n v="0"/>
    <n v="1550"/>
    <n v="1024550"/>
    <n v="258"/>
    <n v="170758"/>
    <n v="661.85271317829461"/>
    <n v="336"/>
    <n v="222382.51162790699"/>
    <n v="336"/>
    <n v="222382.51162790699"/>
    <n v="336"/>
    <n v="222382.51162790699"/>
  </r>
  <r>
    <x v="8"/>
    <s v="DESECHABLES ECOGREEN BIOSPHERE SAS"/>
    <s v="SEEDPACK"/>
    <x v="94"/>
    <x v="94"/>
    <n v="0"/>
    <n v="0"/>
    <n v="14000"/>
    <n v="1134000"/>
    <n v="0"/>
    <n v="0"/>
    <n v="0"/>
    <n v="0"/>
    <n v="14000"/>
    <n v="1134000"/>
    <n v="0"/>
    <n v="0"/>
    <n v="4667"/>
    <n v="378000"/>
    <n v="80.994214698950074"/>
    <n v="6067"/>
    <n v="491391.9005785301"/>
    <n v="6067"/>
    <n v="491391.9005785301"/>
    <n v="6067"/>
    <n v="491391.9005785301"/>
  </r>
  <r>
    <x v="8"/>
    <s v="DESECHABLES ECOGREEN BIOSPHERE SAS"/>
    <s v="SEEDPACK"/>
    <x v="153"/>
    <x v="153"/>
    <n v="1080"/>
    <n v="372600"/>
    <n v="1080"/>
    <n v="372600"/>
    <n v="0"/>
    <n v="0"/>
    <n v="0"/>
    <n v="0"/>
    <n v="0"/>
    <n v="0"/>
    <n v="1594"/>
    <n v="550029"/>
    <n v="626"/>
    <n v="215871"/>
    <n v="344.84185303514374"/>
    <n v="813"/>
    <n v="280356.42651757185"/>
    <n v="813"/>
    <n v="280356.42651757185"/>
    <n v="813"/>
    <n v="280356.42651757185"/>
  </r>
  <r>
    <x v="8"/>
    <s v="DESECHABLES ECOGREEN BIOSPHERE SAS"/>
    <s v="SEEDPACK"/>
    <x v="166"/>
    <x v="166"/>
    <n v="0"/>
    <n v="0"/>
    <n v="0"/>
    <n v="0"/>
    <n v="0"/>
    <n v="0"/>
    <n v="600"/>
    <n v="316200"/>
    <n v="0"/>
    <n v="0"/>
    <n v="886"/>
    <n v="466771"/>
    <n v="248"/>
    <n v="130495"/>
    <n v="526.18951612903231"/>
    <n v="322"/>
    <n v="169433.02419354839"/>
    <n v="322"/>
    <n v="169433.02419354839"/>
    <n v="322"/>
    <n v="169433.02419354839"/>
  </r>
  <r>
    <x v="8"/>
    <s v="DESECHABLES ECOGREEN BIOSPHERE SAS"/>
    <s v="SEEDPACK"/>
    <x v="113"/>
    <x v="113"/>
    <n v="0"/>
    <n v="0"/>
    <n v="0"/>
    <n v="0"/>
    <n v="0"/>
    <n v="0"/>
    <n v="720"/>
    <n v="329760"/>
    <n v="0"/>
    <n v="0"/>
    <n v="1063"/>
    <n v="486789"/>
    <n v="297"/>
    <n v="136091"/>
    <n v="458.2188552188552"/>
    <n v="386"/>
    <n v="176872.47811447812"/>
    <n v="386"/>
    <n v="176872.47811447812"/>
    <n v="386"/>
    <n v="176872.47811447812"/>
  </r>
  <r>
    <x v="8"/>
    <s v="DESECHABLES ECOGREEN BIOSPHERE SAS"/>
    <s v="SEEDPACK"/>
    <x v="123"/>
    <x v="123"/>
    <n v="0"/>
    <n v="0"/>
    <n v="0"/>
    <n v="0"/>
    <n v="0"/>
    <n v="0"/>
    <n v="1000"/>
    <n v="606000"/>
    <n v="1000"/>
    <n v="606000"/>
    <n v="0"/>
    <n v="0"/>
    <n v="333"/>
    <n v="202000"/>
    <n v="606.60660660660665"/>
    <n v="433"/>
    <n v="262660.66066066065"/>
    <n v="433"/>
    <n v="262660.66066066065"/>
    <n v="433"/>
    <n v="262660.66066066065"/>
  </r>
  <r>
    <x v="8"/>
    <s v="DESECHABLES ECOGREEN BIOSPHERE SAS"/>
    <s v="SEEDPACK"/>
    <x v="124"/>
    <x v="124"/>
    <n v="0"/>
    <n v="0"/>
    <n v="500"/>
    <n v="303000"/>
    <n v="0"/>
    <n v="0"/>
    <n v="0"/>
    <n v="0"/>
    <n v="0"/>
    <n v="0"/>
    <n v="0"/>
    <n v="0"/>
    <n v="83"/>
    <n v="50500"/>
    <n v="608.43373493975901"/>
    <n v="108"/>
    <n v="65710.843373493975"/>
    <n v="108"/>
    <n v="65710.843373493975"/>
    <n v="108"/>
    <n v="65710.843373493975"/>
  </r>
  <r>
    <x v="8"/>
    <s v="DESECHABLES ECOGREEN BIOSPHERE SAS"/>
    <s v="SEEDPACK"/>
    <x v="184"/>
    <x v="184"/>
    <n v="1980"/>
    <n v="1134540"/>
    <n v="660"/>
    <n v="378180"/>
    <n v="1980"/>
    <n v="1021680"/>
    <n v="0"/>
    <n v="0"/>
    <n v="1320"/>
    <n v="756360"/>
    <n v="0"/>
    <n v="0"/>
    <n v="990"/>
    <n v="548460"/>
    <n v="554"/>
    <n v="1287"/>
    <n v="712998"/>
    <n v="1287"/>
    <n v="712998"/>
    <n v="1287"/>
    <n v="712998"/>
  </r>
  <r>
    <x v="8"/>
    <s v="DESECHABLES ECOGREEN BIOSPHERE SAS"/>
    <s v="SEEDPACK"/>
    <x v="120"/>
    <x v="120"/>
    <n v="0"/>
    <n v="0"/>
    <n v="300"/>
    <n v="241200"/>
    <n v="300"/>
    <n v="241200"/>
    <n v="0"/>
    <n v="0"/>
    <n v="0"/>
    <n v="0"/>
    <n v="0"/>
    <n v="0"/>
    <n v="100"/>
    <n v="80400"/>
    <n v="804"/>
    <n v="130"/>
    <n v="104520"/>
    <n v="130"/>
    <n v="104520"/>
    <n v="130"/>
    <n v="104520"/>
  </r>
  <r>
    <x v="8"/>
    <s v="DESECHABLES ECOGREEN BIOSPHERE SAS"/>
    <s v="SEEDPACK"/>
    <x v="270"/>
    <x v="269"/>
    <n v="0"/>
    <n v="0"/>
    <n v="160"/>
    <n v="165760"/>
    <n v="0"/>
    <n v="0"/>
    <n v="480"/>
    <n v="497280"/>
    <n v="160"/>
    <n v="165760"/>
    <n v="0"/>
    <n v="0"/>
    <n v="133"/>
    <n v="138133"/>
    <n v="1038.593984962406"/>
    <n v="173"/>
    <n v="179676.75939849624"/>
    <n v="173"/>
    <n v="179676.75939849624"/>
    <n v="173"/>
    <n v="179676.75939849624"/>
  </r>
  <r>
    <x v="8"/>
    <s v="DESECHABLES ECOGREEN BIOSPHERE SAS"/>
    <s v="SEEDPACK"/>
    <x v="122"/>
    <x v="122"/>
    <n v="900"/>
    <n v="663300"/>
    <n v="0"/>
    <n v="0"/>
    <n v="0"/>
    <n v="0"/>
    <n v="600"/>
    <n v="442200"/>
    <n v="300"/>
    <n v="221100"/>
    <n v="443"/>
    <n v="326386"/>
    <n v="374"/>
    <n v="275498"/>
    <n v="736.62566844919786"/>
    <n v="486"/>
    <n v="358000.07486631017"/>
    <n v="486"/>
    <n v="358000.07486631017"/>
    <n v="486"/>
    <n v="358000.07486631017"/>
  </r>
  <r>
    <x v="8"/>
    <s v="DESECHABLES ECOGREEN BIOSPHERE SAS"/>
    <s v="SEEDPACK"/>
    <x v="98"/>
    <x v="98"/>
    <n v="4000"/>
    <n v="4028000"/>
    <n v="1500"/>
    <n v="1510500"/>
    <n v="0"/>
    <n v="0"/>
    <n v="2500"/>
    <n v="2517500"/>
    <n v="1200"/>
    <n v="1208400"/>
    <n v="0"/>
    <n v="0"/>
    <n v="1533"/>
    <n v="1544067"/>
    <n v="1007.2191780821918"/>
    <n v="1993"/>
    <n v="2007387.8219178081"/>
    <n v="1993"/>
    <n v="2007387.8219178081"/>
    <n v="1993"/>
    <n v="2007387.8219178081"/>
  </r>
  <r>
    <x v="8"/>
    <s v="DESECHABLES ECOGREEN BIOSPHERE SAS"/>
    <s v="SEEDPACK"/>
    <x v="99"/>
    <x v="99"/>
    <n v="1400"/>
    <n v="2377200"/>
    <n v="0"/>
    <n v="0"/>
    <n v="0"/>
    <n v="0"/>
    <n v="300"/>
    <n v="509400"/>
    <n v="600"/>
    <n v="1018800"/>
    <n v="0"/>
    <n v="0"/>
    <n v="383"/>
    <n v="650900"/>
    <n v="1699.4778067885118"/>
    <n v="498"/>
    <n v="846339.94778067886"/>
    <n v="498"/>
    <n v="846339.94778067886"/>
    <n v="498"/>
    <n v="846339.94778067886"/>
  </r>
  <r>
    <x v="8"/>
    <s v="DESECHABLES ECOGREEN BIOSPHERE SAS"/>
    <s v="SEEDPACK"/>
    <x v="100"/>
    <x v="100"/>
    <n v="300"/>
    <n v="325500"/>
    <n v="500"/>
    <n v="542500"/>
    <n v="0"/>
    <n v="0"/>
    <n v="200"/>
    <n v="217000"/>
    <n v="200"/>
    <n v="217000"/>
    <n v="0"/>
    <n v="0"/>
    <n v="200"/>
    <n v="217000"/>
    <n v="1085"/>
    <n v="260"/>
    <n v="282100"/>
    <n v="260"/>
    <n v="282100"/>
    <n v="260"/>
    <n v="282100"/>
  </r>
  <r>
    <x v="8"/>
    <s v="DESECHABLES ECOGREEN BIOSPHERE SAS"/>
    <s v="SEEDPACK"/>
    <x v="131"/>
    <x v="131"/>
    <n v="800"/>
    <n v="1144800"/>
    <n v="100"/>
    <n v="143100"/>
    <n v="0"/>
    <n v="0"/>
    <n v="400"/>
    <n v="572400"/>
    <n v="400"/>
    <n v="572400"/>
    <n v="0"/>
    <n v="0"/>
    <n v="283"/>
    <n v="405450"/>
    <n v="1432.6855123674911"/>
    <n v="368"/>
    <n v="527228.26855123672"/>
    <n v="368"/>
    <n v="527228.26855123672"/>
    <n v="368"/>
    <n v="527228.26855123672"/>
  </r>
  <r>
    <x v="8"/>
    <s v="DESECHABLES ECOGREEN BIOSPHERE SAS"/>
    <s v="SEEDPACK"/>
    <x v="118"/>
    <x v="118"/>
    <n v="0"/>
    <n v="0"/>
    <n v="600"/>
    <n v="234000"/>
    <n v="0"/>
    <n v="0"/>
    <n v="0"/>
    <n v="0"/>
    <n v="0"/>
    <n v="0"/>
    <n v="0"/>
    <n v="0"/>
    <n v="100"/>
    <n v="39000"/>
    <n v="390"/>
    <n v="130"/>
    <n v="50700"/>
    <n v="130"/>
    <n v="50700"/>
    <n v="130"/>
    <n v="50700"/>
  </r>
  <r>
    <x v="8"/>
    <s v="DESECHABLES ECOGREEN BIOSPHERE SAS"/>
    <s v="SEEDPACK"/>
    <x v="119"/>
    <x v="119"/>
    <n v="0"/>
    <n v="0"/>
    <n v="360"/>
    <n v="221760"/>
    <n v="0"/>
    <n v="0"/>
    <n v="0"/>
    <n v="0"/>
    <n v="0"/>
    <n v="0"/>
    <n v="0"/>
    <n v="0"/>
    <n v="60"/>
    <n v="36960"/>
    <n v="616"/>
    <n v="78"/>
    <n v="48048"/>
    <n v="78"/>
    <n v="48048"/>
    <n v="78"/>
    <n v="48048"/>
  </r>
  <r>
    <x v="8"/>
    <s v="DESECHABLES ECOGREEN BIOSPHERE SAS"/>
    <s v="SEEDPACK"/>
    <x v="101"/>
    <x v="101"/>
    <n v="450"/>
    <n v="440550"/>
    <n v="0"/>
    <n v="0"/>
    <n v="0"/>
    <n v="0"/>
    <n v="0"/>
    <n v="0"/>
    <n v="0"/>
    <n v="0"/>
    <n v="0"/>
    <n v="0"/>
    <n v="75"/>
    <n v="73425"/>
    <n v="979"/>
    <n v="98"/>
    <n v="95942"/>
    <n v="98"/>
    <n v="95942"/>
    <n v="98"/>
    <n v="95942"/>
  </r>
  <r>
    <x v="8"/>
    <s v="DESECHABLES ECOGREEN BIOSPHERE SAS"/>
    <s v="SEEDPACK"/>
    <x v="103"/>
    <x v="103"/>
    <n v="540"/>
    <n v="318060"/>
    <n v="540"/>
    <n v="318060"/>
    <n v="0"/>
    <n v="0"/>
    <n v="270"/>
    <n v="159030"/>
    <n v="270"/>
    <n v="159030"/>
    <n v="1196"/>
    <n v="704276"/>
    <n v="469"/>
    <n v="276409"/>
    <n v="589.35820895522386"/>
    <n v="610"/>
    <n v="359508.50746268657"/>
    <n v="610"/>
    <n v="359508.50746268657"/>
    <n v="610"/>
    <n v="359508.50746268657"/>
  </r>
  <r>
    <x v="8"/>
    <s v="DESECHABLES ECOGREEN BIOSPHERE SAS"/>
    <s v="Salseros"/>
    <x v="108"/>
    <x v="108"/>
    <n v="25000"/>
    <n v="825000"/>
    <n v="0"/>
    <n v="0"/>
    <n v="0"/>
    <n v="0"/>
    <n v="5000"/>
    <n v="165000"/>
    <n v="0"/>
    <n v="0"/>
    <n v="0"/>
    <n v="0"/>
    <n v="5000"/>
    <n v="165000"/>
    <n v="33"/>
    <n v="6500"/>
    <n v="214500"/>
    <n v="6500"/>
    <n v="214500"/>
    <n v="6500"/>
    <n v="214500"/>
  </r>
  <r>
    <x v="8"/>
    <s v="DESECHABLES PENTAGONO SAS"/>
    <s v="SEEDPACK"/>
    <x v="94"/>
    <x v="94"/>
    <n v="12000"/>
    <n v="972000"/>
    <n v="0"/>
    <n v="0"/>
    <n v="4000"/>
    <n v="324000"/>
    <n v="14000"/>
    <n v="1134000"/>
    <n v="10000"/>
    <n v="810000"/>
    <n v="0"/>
    <n v="0"/>
    <n v="6667"/>
    <n v="540000"/>
    <n v="80.99595020248988"/>
    <n v="8667"/>
    <n v="701991.90040497982"/>
    <n v="8667"/>
    <n v="701991.90040497982"/>
    <n v="8667"/>
    <n v="701991.90040497982"/>
  </r>
  <r>
    <x v="8"/>
    <s v="DESECHABLES PENTAGONO SAS"/>
    <s v="SEEDPACK"/>
    <x v="165"/>
    <x v="165"/>
    <n v="0"/>
    <n v="0"/>
    <n v="2160"/>
    <n v="576720"/>
    <n v="0"/>
    <n v="0"/>
    <n v="0"/>
    <n v="0"/>
    <n v="0"/>
    <n v="0"/>
    <n v="0"/>
    <n v="0"/>
    <n v="360"/>
    <n v="96120"/>
    <n v="267"/>
    <n v="468"/>
    <n v="124956"/>
    <n v="468"/>
    <n v="124956"/>
    <n v="468"/>
    <n v="124956"/>
  </r>
  <r>
    <x v="8"/>
    <s v="DESECHABLES PENTAGONO SAS"/>
    <s v="SEEDPACK"/>
    <x v="135"/>
    <x v="135"/>
    <n v="0"/>
    <n v="0"/>
    <n v="1440"/>
    <n v="521280"/>
    <n v="0"/>
    <n v="0"/>
    <n v="0"/>
    <n v="0"/>
    <n v="0"/>
    <n v="0"/>
    <n v="0"/>
    <n v="0"/>
    <n v="240"/>
    <n v="86880"/>
    <n v="362"/>
    <n v="312"/>
    <n v="112944"/>
    <n v="312"/>
    <n v="112944"/>
    <n v="312"/>
    <n v="112944"/>
  </r>
  <r>
    <x v="8"/>
    <s v="DESECHABLES PENTAGONO SAS"/>
    <s v="SEEDPACK"/>
    <x v="273"/>
    <x v="272"/>
    <n v="0"/>
    <n v="0"/>
    <n v="840"/>
    <n v="446040"/>
    <n v="0"/>
    <n v="0"/>
    <n v="0"/>
    <n v="0"/>
    <n v="0"/>
    <n v="0"/>
    <n v="0"/>
    <n v="0"/>
    <n v="140"/>
    <n v="74340"/>
    <n v="531"/>
    <n v="182"/>
    <n v="96642"/>
    <n v="182"/>
    <n v="96642"/>
    <n v="182"/>
    <n v="96642"/>
  </r>
  <r>
    <x v="8"/>
    <s v="DESECHABLES PENTAGONO SAS"/>
    <s v="SEEDPACK"/>
    <x v="274"/>
    <x v="273"/>
    <n v="0"/>
    <n v="0"/>
    <n v="0"/>
    <n v="0"/>
    <n v="6480"/>
    <n v="1730160"/>
    <n v="0"/>
    <n v="0"/>
    <n v="0"/>
    <n v="0"/>
    <n v="0"/>
    <n v="0"/>
    <n v="1080"/>
    <n v="288360"/>
    <n v="267"/>
    <n v="1404"/>
    <n v="374868"/>
    <n v="1404"/>
    <n v="374868"/>
    <n v="1404"/>
    <n v="374868"/>
  </r>
  <r>
    <x v="8"/>
    <s v="DESECHABLES PENTAGONO SAS"/>
    <s v="SEEDPACK"/>
    <x v="275"/>
    <x v="274"/>
    <n v="0"/>
    <n v="0"/>
    <n v="0"/>
    <n v="0"/>
    <n v="0"/>
    <n v="0"/>
    <n v="0"/>
    <n v="0"/>
    <n v="2160"/>
    <n v="544320"/>
    <n v="0"/>
    <n v="0"/>
    <n v="360"/>
    <n v="90720"/>
    <n v="252"/>
    <n v="468"/>
    <n v="117936"/>
    <n v="468"/>
    <n v="117936"/>
    <n v="468"/>
    <n v="117936"/>
  </r>
  <r>
    <x v="8"/>
    <s v="DESECHABLES PENTAGONO SAS"/>
    <s v="SEEDPACK"/>
    <x v="153"/>
    <x v="153"/>
    <n v="0"/>
    <n v="0"/>
    <n v="0"/>
    <n v="0"/>
    <n v="0"/>
    <n v="0"/>
    <n v="0"/>
    <n v="0"/>
    <n v="1080"/>
    <n v="372600"/>
    <n v="3189"/>
    <n v="1100057"/>
    <n v="711"/>
    <n v="245443"/>
    <n v="345.20815752461323"/>
    <n v="925"/>
    <n v="319317.54571026721"/>
    <n v="925"/>
    <n v="319317.54571026721"/>
    <n v="925"/>
    <n v="319317.54571026721"/>
  </r>
  <r>
    <x v="8"/>
    <s v="DESECHABLES PENTAGONO SAS"/>
    <s v="SEEDPACK"/>
    <x v="120"/>
    <x v="120"/>
    <n v="0"/>
    <n v="0"/>
    <n v="300"/>
    <n v="241200"/>
    <n v="0"/>
    <n v="0"/>
    <n v="0"/>
    <n v="0"/>
    <n v="0"/>
    <n v="0"/>
    <n v="0"/>
    <n v="0"/>
    <n v="50"/>
    <n v="40200"/>
    <n v="804"/>
    <n v="65"/>
    <n v="52260"/>
    <n v="65"/>
    <n v="52260"/>
    <n v="65"/>
    <n v="52260"/>
  </r>
  <r>
    <x v="8"/>
    <s v="DESECHABLES PENTAGONO SAS"/>
    <s v="SEEDPACK"/>
    <x v="98"/>
    <x v="98"/>
    <n v="500"/>
    <n v="503500"/>
    <n v="0"/>
    <n v="0"/>
    <n v="300"/>
    <n v="302100"/>
    <n v="500"/>
    <n v="503500"/>
    <n v="100"/>
    <n v="100700"/>
    <n v="738"/>
    <n v="743262"/>
    <n v="356"/>
    <n v="358844"/>
    <n v="1007.9887640449438"/>
    <n v="463"/>
    <n v="466698.79775280895"/>
    <n v="463"/>
    <n v="466698.79775280895"/>
    <n v="463"/>
    <n v="466698.79775280895"/>
  </r>
  <r>
    <x v="8"/>
    <s v="DESECHABLES PENTAGONO SAS"/>
    <s v="SEEDPACK"/>
    <x v="130"/>
    <x v="130"/>
    <n v="0"/>
    <n v="0"/>
    <n v="0"/>
    <n v="0"/>
    <n v="0"/>
    <n v="0"/>
    <n v="0"/>
    <n v="0"/>
    <n v="100"/>
    <n v="143000"/>
    <n v="0"/>
    <n v="0"/>
    <n v="17"/>
    <n v="23833"/>
    <n v="1401.9411764705883"/>
    <n v="22"/>
    <n v="30842.705882352944"/>
    <n v="22"/>
    <n v="30842.705882352944"/>
    <n v="22"/>
    <n v="30842.705882352944"/>
  </r>
  <r>
    <x v="8"/>
    <s v="DESECHABLES PENTAGONO SAS"/>
    <s v="SEEDPACK"/>
    <x v="131"/>
    <x v="131"/>
    <n v="0"/>
    <n v="0"/>
    <n v="0"/>
    <n v="0"/>
    <n v="300"/>
    <n v="459300"/>
    <n v="300"/>
    <n v="429300"/>
    <n v="0"/>
    <n v="0"/>
    <n v="0"/>
    <n v="0"/>
    <n v="100"/>
    <n v="148100"/>
    <n v="1481"/>
    <n v="130"/>
    <n v="192530"/>
    <n v="130"/>
    <n v="192530"/>
    <n v="130"/>
    <n v="192530"/>
  </r>
  <r>
    <x v="8"/>
    <s v="DESECHABLES PENTAGONO SAS"/>
    <s v="SEEDPACK"/>
    <x v="118"/>
    <x v="118"/>
    <n v="0"/>
    <n v="0"/>
    <n v="0"/>
    <n v="0"/>
    <n v="600"/>
    <n v="234000"/>
    <n v="0"/>
    <n v="0"/>
    <n v="0"/>
    <n v="0"/>
    <n v="0"/>
    <n v="0"/>
    <n v="100"/>
    <n v="39000"/>
    <n v="390"/>
    <n v="130"/>
    <n v="50700"/>
    <n v="130"/>
    <n v="50700"/>
    <n v="130"/>
    <n v="50700"/>
  </r>
  <r>
    <x v="8"/>
    <s v="DESECHABLES PENTAGONO SAS"/>
    <s v="SEEDPACK"/>
    <x v="119"/>
    <x v="119"/>
    <n v="0"/>
    <n v="0"/>
    <n v="180"/>
    <n v="110880"/>
    <n v="0"/>
    <n v="0"/>
    <n v="0"/>
    <n v="0"/>
    <n v="0"/>
    <n v="0"/>
    <n v="0"/>
    <n v="0"/>
    <n v="30"/>
    <n v="18480"/>
    <n v="616"/>
    <n v="39"/>
    <n v="24024"/>
    <n v="39"/>
    <n v="24024"/>
    <n v="39"/>
    <n v="24024"/>
  </r>
  <r>
    <x v="8"/>
    <s v="DESECHABLES PENTAGONO SAS"/>
    <s v="SEEDPACK"/>
    <x v="102"/>
    <x v="102"/>
    <n v="0"/>
    <n v="0"/>
    <n v="0"/>
    <n v="0"/>
    <n v="0"/>
    <n v="0"/>
    <n v="0"/>
    <n v="0"/>
    <n v="1080"/>
    <n v="518400"/>
    <n v="1594"/>
    <n v="765257"/>
    <n v="446"/>
    <n v="213943"/>
    <n v="479.69282511210764"/>
    <n v="579"/>
    <n v="277742.14573991031"/>
    <n v="579"/>
    <n v="277742.14573991031"/>
    <n v="579"/>
    <n v="277742.14573991031"/>
  </r>
  <r>
    <x v="8"/>
    <s v="DESECHABLES PENTAGONO SAS"/>
    <s v="SEEDPACK"/>
    <x v="104"/>
    <x v="104"/>
    <n v="840"/>
    <n v="555240"/>
    <n v="0"/>
    <n v="0"/>
    <n v="0"/>
    <n v="0"/>
    <n v="0"/>
    <n v="0"/>
    <n v="0"/>
    <n v="0"/>
    <n v="0"/>
    <n v="0"/>
    <n v="140"/>
    <n v="92540"/>
    <n v="661"/>
    <n v="182"/>
    <n v="120302"/>
    <n v="182"/>
    <n v="120302"/>
    <n v="182"/>
    <n v="120302"/>
  </r>
  <r>
    <x v="8"/>
    <s v="DESECHABLES PENTAGONO SAS"/>
    <s v="Salseros"/>
    <x v="108"/>
    <x v="108"/>
    <n v="0"/>
    <n v="0"/>
    <n v="10000"/>
    <n v="330000"/>
    <n v="0"/>
    <n v="0"/>
    <n v="5000"/>
    <n v="165000"/>
    <n v="10000"/>
    <n v="330000"/>
    <n v="0"/>
    <n v="0"/>
    <n v="4167"/>
    <n v="137500"/>
    <n v="32.997360211183107"/>
    <n v="5417"/>
    <n v="178746.70026397888"/>
    <n v="5417"/>
    <n v="178746.70026397888"/>
    <n v="5417"/>
    <n v="178746.70026397888"/>
  </r>
  <r>
    <x v="8"/>
    <s v="DISTRIBUIDORA  AQUITODO SAS"/>
    <s v="SEEDPACK"/>
    <x v="135"/>
    <x v="135"/>
    <n v="0"/>
    <n v="0"/>
    <n v="2880"/>
    <n v="1042560"/>
    <n v="0"/>
    <n v="0"/>
    <n v="0"/>
    <n v="0"/>
    <n v="0"/>
    <n v="0"/>
    <n v="0"/>
    <n v="0"/>
    <n v="480"/>
    <n v="173760"/>
    <n v="362"/>
    <n v="624"/>
    <n v="225888"/>
    <n v="624"/>
    <n v="225888"/>
    <n v="624"/>
    <n v="225888"/>
  </r>
  <r>
    <x v="8"/>
    <s v="DISTRIBUIDORA  AQUITODO SAS"/>
    <s v="SEEDPACK"/>
    <x v="273"/>
    <x v="272"/>
    <n v="0"/>
    <n v="0"/>
    <n v="0"/>
    <n v="0"/>
    <n v="840"/>
    <n v="446040"/>
    <n v="0"/>
    <n v="0"/>
    <n v="0"/>
    <n v="0"/>
    <n v="0"/>
    <n v="0"/>
    <n v="140"/>
    <n v="74340"/>
    <n v="531"/>
    <n v="182"/>
    <n v="96642"/>
    <n v="182"/>
    <n v="96642"/>
    <n v="182"/>
    <n v="96642"/>
  </r>
  <r>
    <x v="8"/>
    <s v="DISTRIBUIDORA  AQUITODO SAS"/>
    <s v="SEEDPACK"/>
    <x v="156"/>
    <x v="156"/>
    <n v="600"/>
    <n v="514800"/>
    <n v="450"/>
    <n v="386100"/>
    <n v="450"/>
    <n v="386100"/>
    <n v="300"/>
    <n v="257400"/>
    <n v="0"/>
    <n v="0"/>
    <n v="1107"/>
    <n v="949929"/>
    <n v="485"/>
    <n v="415721"/>
    <n v="857.15670103092782"/>
    <n v="630"/>
    <n v="540008.72164948448"/>
    <n v="630"/>
    <n v="540008.72164948448"/>
    <n v="630"/>
    <n v="540008.72164948448"/>
  </r>
  <r>
    <x v="8"/>
    <s v="DISTRIBUIDORA  AQUITODO SAS"/>
    <s v="SEEDPACK"/>
    <x v="95"/>
    <x v="95"/>
    <n v="0"/>
    <n v="0"/>
    <n v="400"/>
    <n v="468800"/>
    <n v="300"/>
    <n v="351600"/>
    <n v="0"/>
    <n v="0"/>
    <n v="0"/>
    <n v="0"/>
    <n v="0"/>
    <n v="0"/>
    <n v="117"/>
    <n v="136733"/>
    <n v="1168.6581196581196"/>
    <n v="152"/>
    <n v="177636.03418803419"/>
    <n v="152"/>
    <n v="177636.03418803419"/>
    <n v="152"/>
    <n v="177636.03418803419"/>
  </r>
  <r>
    <x v="8"/>
    <s v="DISTRIBUIDORA  AQUITODO SAS"/>
    <s v="SEEDPACK"/>
    <x v="270"/>
    <x v="269"/>
    <n v="0"/>
    <n v="0"/>
    <n v="960"/>
    <n v="994560"/>
    <n v="480"/>
    <n v="497280"/>
    <n v="960"/>
    <n v="994560"/>
    <n v="1280"/>
    <n v="1326080"/>
    <n v="0"/>
    <n v="0"/>
    <n v="613"/>
    <n v="635413"/>
    <n v="1036.5628058727568"/>
    <n v="797"/>
    <n v="826140.55628058722"/>
    <n v="797"/>
    <n v="826140.55628058722"/>
    <n v="797"/>
    <n v="826140.55628058722"/>
  </r>
  <r>
    <x v="8"/>
    <s v="DISTRIBUIDORA  AQUITODO SAS"/>
    <s v="SEEDPACK"/>
    <x v="101"/>
    <x v="101"/>
    <n v="180"/>
    <n v="176220"/>
    <n v="540"/>
    <n v="528660"/>
    <n v="180"/>
    <n v="176220"/>
    <n v="540"/>
    <n v="528660"/>
    <n v="0"/>
    <n v="0"/>
    <n v="0"/>
    <n v="0"/>
    <n v="240"/>
    <n v="234960"/>
    <n v="979"/>
    <n v="312"/>
    <n v="305448"/>
    <n v="312"/>
    <n v="305448"/>
    <n v="312"/>
    <n v="305448"/>
  </r>
  <r>
    <x v="8"/>
    <s v="DISTRIBUIDORA  AQUITODO SAS"/>
    <s v="SEEDPACK"/>
    <x v="102"/>
    <x v="102"/>
    <n v="720"/>
    <n v="345600"/>
    <n v="1080"/>
    <n v="518400"/>
    <n v="0"/>
    <n v="0"/>
    <n v="0"/>
    <n v="0"/>
    <n v="0"/>
    <n v="0"/>
    <n v="0"/>
    <n v="0"/>
    <n v="300"/>
    <n v="144000"/>
    <n v="480"/>
    <n v="390"/>
    <n v="187200"/>
    <n v="390"/>
    <n v="187200"/>
    <n v="390"/>
    <n v="187200"/>
  </r>
  <r>
    <x v="8"/>
    <s v="DISTRIBUIDORA  AQUITODO SAS"/>
    <s v="SEEDPACK"/>
    <x v="104"/>
    <x v="104"/>
    <n v="840"/>
    <n v="555240"/>
    <n v="840"/>
    <n v="555240"/>
    <n v="0"/>
    <n v="0"/>
    <n v="0"/>
    <n v="0"/>
    <n v="0"/>
    <n v="0"/>
    <n v="0"/>
    <n v="0"/>
    <n v="280"/>
    <n v="185080"/>
    <n v="661"/>
    <n v="364"/>
    <n v="240604"/>
    <n v="364"/>
    <n v="240604"/>
    <n v="364"/>
    <n v="240604"/>
  </r>
  <r>
    <x v="8"/>
    <s v="DISTRIBUIDORA  AQUITODO SAS"/>
    <s v="Salseros"/>
    <x v="108"/>
    <x v="108"/>
    <n v="0"/>
    <n v="0"/>
    <n v="0"/>
    <n v="0"/>
    <n v="20000"/>
    <n v="652000"/>
    <n v="15000"/>
    <n v="489000"/>
    <n v="25000"/>
    <n v="815000"/>
    <n v="0"/>
    <n v="0"/>
    <n v="10000"/>
    <n v="326000"/>
    <n v="32.6"/>
    <n v="13000"/>
    <n v="423800"/>
    <n v="13000"/>
    <n v="423800"/>
    <n v="13000"/>
    <n v="423800"/>
  </r>
  <r>
    <x v="8"/>
    <s v="DISTRIBUIDORA CORAZON DEL VALLE DISTRICOR SAS"/>
    <s v="BOLSAS"/>
    <x v="139"/>
    <x v="139"/>
    <n v="0"/>
    <n v="0"/>
    <n v="0"/>
    <n v="0"/>
    <n v="0"/>
    <n v="0"/>
    <n v="0"/>
    <n v="0"/>
    <n v="500"/>
    <n v="365500"/>
    <n v="0"/>
    <n v="0"/>
    <n v="83"/>
    <n v="60917"/>
    <n v="733.93975903614455"/>
    <n v="108"/>
    <n v="79265.493975903606"/>
    <n v="108"/>
    <n v="79265.493975903606"/>
    <n v="108"/>
    <n v="79265.493975903606"/>
  </r>
  <r>
    <x v="8"/>
    <s v="DISTRIBUIDORA CORAZON DEL VALLE DISTRICOR SAS"/>
    <s v="BOLSAS"/>
    <x v="140"/>
    <x v="140"/>
    <n v="1000"/>
    <n v="662000"/>
    <n v="0"/>
    <n v="0"/>
    <n v="500"/>
    <n v="331000"/>
    <n v="0"/>
    <n v="0"/>
    <n v="0"/>
    <n v="0"/>
    <n v="0"/>
    <n v="0"/>
    <n v="250"/>
    <n v="165500"/>
    <n v="662"/>
    <n v="325"/>
    <n v="215150"/>
    <n v="325"/>
    <n v="215150"/>
    <n v="325"/>
    <n v="215150"/>
  </r>
  <r>
    <x v="8"/>
    <s v="DISTRIBUIDORA CORAZON DEL VALLE DISTRICOR SAS"/>
    <s v="SEEDPACK"/>
    <x v="94"/>
    <x v="94"/>
    <n v="10000"/>
    <n v="860000"/>
    <n v="0"/>
    <n v="0"/>
    <n v="4000"/>
    <n v="344000"/>
    <n v="2000"/>
    <n v="172000"/>
    <n v="0"/>
    <n v="0"/>
    <n v="0"/>
    <n v="0"/>
    <n v="2667"/>
    <n v="229333"/>
    <n v="85.989126359205102"/>
    <n v="3467"/>
    <n v="298124.30108736409"/>
    <n v="3467"/>
    <n v="298124.30108736409"/>
    <n v="3467"/>
    <n v="298124.30108736409"/>
  </r>
  <r>
    <x v="8"/>
    <s v="DISTRIBUIDORA CORAZON DEL VALLE DISTRICOR SAS"/>
    <s v="SEEDPACK"/>
    <x v="118"/>
    <x v="118"/>
    <n v="600"/>
    <n v="281400"/>
    <n v="300"/>
    <n v="140700"/>
    <n v="300"/>
    <n v="140700"/>
    <n v="300"/>
    <n v="140700"/>
    <n v="600"/>
    <n v="281400"/>
    <n v="0"/>
    <n v="0"/>
    <n v="350"/>
    <n v="164150"/>
    <n v="469"/>
    <n v="455"/>
    <n v="213395"/>
    <n v="455"/>
    <n v="213395"/>
    <n v="455"/>
    <n v="213395"/>
  </r>
  <r>
    <x v="8"/>
    <s v="DISTRIBUIDORA CORAZON DEL VALLE DISTRICOR SAS"/>
    <s v="SEEDPACK"/>
    <x v="119"/>
    <x v="119"/>
    <n v="720"/>
    <n v="458640"/>
    <n v="180"/>
    <n v="114660"/>
    <n v="0"/>
    <n v="0"/>
    <n v="180"/>
    <n v="114660"/>
    <n v="360"/>
    <n v="229320"/>
    <n v="0"/>
    <n v="0"/>
    <n v="240"/>
    <n v="152880"/>
    <n v="637"/>
    <n v="312"/>
    <n v="198744"/>
    <n v="312"/>
    <n v="198744"/>
    <n v="312"/>
    <n v="198744"/>
  </r>
  <r>
    <x v="8"/>
    <s v="DISTRIBUIDORA CORAZON DEL VALLE DISTRICOR SAS"/>
    <s v="Salseros"/>
    <x v="108"/>
    <x v="108"/>
    <n v="15000"/>
    <n v="535500"/>
    <n v="5000"/>
    <n v="178500"/>
    <n v="5000"/>
    <n v="178500"/>
    <n v="10000"/>
    <n v="357000"/>
    <n v="15000"/>
    <n v="535500"/>
    <n v="0"/>
    <n v="0"/>
    <n v="8333"/>
    <n v="297500"/>
    <n v="35.701428057122286"/>
    <n v="10833"/>
    <n v="386753.57014280569"/>
    <n v="10833"/>
    <n v="386753.57014280569"/>
    <n v="10833"/>
    <n v="386753.57014280569"/>
  </r>
  <r>
    <x v="8"/>
    <s v="DISTRIBUIDORA CORAZON DEL VALLE DISTRICOR SAS"/>
    <s v="Salseros"/>
    <x v="110"/>
    <x v="110"/>
    <n v="0"/>
    <n v="0"/>
    <n v="0"/>
    <n v="0"/>
    <n v="0"/>
    <n v="0"/>
    <n v="0"/>
    <n v="0"/>
    <n v="5000"/>
    <n v="183000"/>
    <n v="0"/>
    <n v="0"/>
    <n v="833"/>
    <n v="30500"/>
    <n v="36.614645858343337"/>
    <n v="1083"/>
    <n v="39653.661464585835"/>
    <n v="1083"/>
    <n v="39653.661464585835"/>
    <n v="1083"/>
    <n v="39653.661464585835"/>
  </r>
  <r>
    <x v="8"/>
    <s v="DISTRIBUIDORA CORAZON DEL VALLE DISTRICOR SAS"/>
    <s v="Salseros"/>
    <x v="132"/>
    <x v="132"/>
    <n v="0"/>
    <n v="0"/>
    <n v="0"/>
    <n v="0"/>
    <n v="0"/>
    <n v="0"/>
    <n v="5000"/>
    <n v="213000"/>
    <n v="0"/>
    <n v="0"/>
    <n v="0"/>
    <n v="0"/>
    <n v="833"/>
    <n v="35500"/>
    <n v="42.617046818727488"/>
    <n v="1083"/>
    <n v="46154.26170468187"/>
    <n v="1083"/>
    <n v="46154.26170468187"/>
    <n v="1083"/>
    <n v="46154.26170468187"/>
  </r>
  <r>
    <x v="8"/>
    <s v="DISTRIBUIDORA Y COMERCIALIZADORA BERPA S.A.S"/>
    <s v="SEEDPACK"/>
    <x v="153"/>
    <x v="153"/>
    <n v="0"/>
    <n v="0"/>
    <n v="0"/>
    <n v="0"/>
    <n v="0"/>
    <n v="0"/>
    <n v="1080"/>
    <n v="372600"/>
    <n v="0"/>
    <n v="0"/>
    <n v="0"/>
    <n v="0"/>
    <n v="180"/>
    <n v="62100"/>
    <n v="345"/>
    <n v="234"/>
    <n v="80730"/>
    <n v="234"/>
    <n v="80730"/>
    <n v="234"/>
    <n v="80730"/>
  </r>
  <r>
    <x v="8"/>
    <s v="DISTRIBUIDORA Y COMERCIALIZADORA BERPA S.A.S"/>
    <s v="SEEDPACK"/>
    <x v="184"/>
    <x v="184"/>
    <n v="1980"/>
    <n v="1134540"/>
    <n v="0"/>
    <n v="0"/>
    <n v="1980"/>
    <n v="1134540"/>
    <n v="1320"/>
    <n v="756360"/>
    <n v="1980"/>
    <n v="1134540"/>
    <n v="2923"/>
    <n v="1674797"/>
    <n v="1697"/>
    <n v="972463"/>
    <n v="573.04832056570422"/>
    <n v="2206"/>
    <n v="1264144.5951679435"/>
    <n v="2206"/>
    <n v="1264144.5951679435"/>
    <n v="2206"/>
    <n v="1264144.5951679435"/>
  </r>
  <r>
    <x v="8"/>
    <s v="DISTRIBUIDORA Y COMERCIALIZADORA BERPA S.A.S"/>
    <s v="SEEDPACK"/>
    <x v="122"/>
    <x v="122"/>
    <n v="0"/>
    <n v="0"/>
    <n v="0"/>
    <n v="0"/>
    <n v="0"/>
    <n v="0"/>
    <n v="150"/>
    <n v="110550"/>
    <n v="0"/>
    <n v="0"/>
    <n v="0"/>
    <n v="0"/>
    <n v="25"/>
    <n v="18425"/>
    <n v="737"/>
    <n v="32"/>
    <n v="23584"/>
    <n v="32"/>
    <n v="23584"/>
    <n v="32"/>
    <n v="23584"/>
  </r>
  <r>
    <x v="8"/>
    <s v="DISTRIBUIDORA Y COMERCIALIZADORA BERPA S.A.S"/>
    <s v="SEEDPACK"/>
    <x v="98"/>
    <x v="98"/>
    <n v="300"/>
    <n v="302100"/>
    <n v="0"/>
    <n v="0"/>
    <n v="0"/>
    <n v="0"/>
    <n v="300"/>
    <n v="302100"/>
    <n v="300"/>
    <n v="302100"/>
    <n v="0"/>
    <n v="0"/>
    <n v="150"/>
    <n v="151050"/>
    <n v="1007"/>
    <n v="195"/>
    <n v="196365"/>
    <n v="195"/>
    <n v="196365"/>
    <n v="195"/>
    <n v="196365"/>
  </r>
  <r>
    <x v="8"/>
    <s v="ECOLOVERS GROUP SAS"/>
    <s v="SEEDPACK"/>
    <x v="98"/>
    <x v="98"/>
    <n v="300"/>
    <n v="302100"/>
    <n v="200"/>
    <n v="201400"/>
    <n v="0"/>
    <n v="0"/>
    <n v="300"/>
    <n v="302100"/>
    <n v="0"/>
    <n v="0"/>
    <n v="148"/>
    <n v="148652"/>
    <n v="158"/>
    <n v="159042"/>
    <n v="1006.5949367088608"/>
    <n v="205"/>
    <n v="206351.96202531646"/>
    <n v="205"/>
    <n v="206351.96202531646"/>
    <n v="205"/>
    <n v="206351.96202531646"/>
  </r>
  <r>
    <x v="8"/>
    <s v="ECOLOVERS GROUP SAS"/>
    <s v="SEEDPACK"/>
    <x v="118"/>
    <x v="118"/>
    <n v="300"/>
    <n v="117000"/>
    <n v="0"/>
    <n v="0"/>
    <n v="600"/>
    <n v="234000"/>
    <n v="600"/>
    <n v="234000"/>
    <n v="300"/>
    <n v="117000"/>
    <n v="443"/>
    <n v="172714"/>
    <n v="374"/>
    <n v="145786"/>
    <n v="389.80213903743316"/>
    <n v="486"/>
    <n v="189443.83957219252"/>
    <n v="486"/>
    <n v="189443.83957219252"/>
    <n v="486"/>
    <n v="189443.83957219252"/>
  </r>
  <r>
    <x v="8"/>
    <s v="ECOLOVERS GROUP SAS"/>
    <s v="Salseros"/>
    <x v="108"/>
    <x v="108"/>
    <n v="35000"/>
    <n v="1141000"/>
    <n v="20000"/>
    <n v="652000"/>
    <n v="20000"/>
    <n v="652000"/>
    <n v="30000"/>
    <n v="978000"/>
    <n v="35000"/>
    <n v="1141000"/>
    <n v="44286"/>
    <n v="1443714"/>
    <n v="30714"/>
    <n v="1001286"/>
    <n v="32.600312561047076"/>
    <n v="39928"/>
    <n v="1301665.2799374876"/>
    <n v="39928"/>
    <n v="1301665.2799374876"/>
    <n v="39928"/>
    <n v="1301665.2799374876"/>
  </r>
  <r>
    <x v="8"/>
    <s v="ECOLOVERS GROUP SAS"/>
    <s v="Salseros"/>
    <x v="110"/>
    <x v="110"/>
    <n v="0"/>
    <n v="0"/>
    <n v="0"/>
    <n v="0"/>
    <n v="0"/>
    <n v="0"/>
    <n v="0"/>
    <n v="0"/>
    <n v="5000"/>
    <n v="169500"/>
    <n v="0"/>
    <n v="0"/>
    <n v="833"/>
    <n v="28250"/>
    <n v="33.913565426170472"/>
    <n v="1083"/>
    <n v="36728.391356542619"/>
    <n v="1083"/>
    <n v="36728.391356542619"/>
    <n v="1083"/>
    <n v="36728.391356542619"/>
  </r>
  <r>
    <x v="8"/>
    <s v="EL COMEDOR DE LA HACIENDA SAS"/>
    <s v="SEEDPACK"/>
    <x v="276"/>
    <x v="275"/>
    <n v="600"/>
    <n v="183000"/>
    <n v="0"/>
    <n v="0"/>
    <n v="0"/>
    <n v="0"/>
    <n v="0"/>
    <n v="0"/>
    <n v="0"/>
    <n v="0"/>
    <n v="0"/>
    <n v="0"/>
    <n v="100"/>
    <n v="30500"/>
    <n v="305"/>
    <n v="130"/>
    <n v="39650"/>
    <n v="130"/>
    <n v="39650"/>
    <n v="130"/>
    <n v="39650"/>
  </r>
  <r>
    <x v="8"/>
    <s v="EL COMEDOR DE LA HACIENDA SAS"/>
    <s v="SEEDPACK"/>
    <x v="277"/>
    <x v="276"/>
    <n v="200"/>
    <n v="109000"/>
    <n v="0"/>
    <n v="0"/>
    <n v="0"/>
    <n v="0"/>
    <n v="0"/>
    <n v="0"/>
    <n v="0"/>
    <n v="0"/>
    <n v="0"/>
    <n v="0"/>
    <n v="33"/>
    <n v="18167"/>
    <n v="550.5151515151515"/>
    <n v="43"/>
    <n v="23672.151515151516"/>
    <n v="43"/>
    <n v="23672.151515151516"/>
    <n v="43"/>
    <n v="23672.151515151516"/>
  </r>
  <r>
    <x v="8"/>
    <s v="EL COMEDOR DE LA HACIENDA SAS"/>
    <s v="SEEDPACK"/>
    <x v="278"/>
    <x v="277"/>
    <n v="92"/>
    <n v="81144"/>
    <n v="0"/>
    <n v="0"/>
    <n v="0"/>
    <n v="0"/>
    <n v="0"/>
    <n v="0"/>
    <n v="0"/>
    <n v="0"/>
    <n v="0"/>
    <n v="0"/>
    <n v="15"/>
    <n v="13524"/>
    <n v="901.6"/>
    <n v="20"/>
    <n v="18032"/>
    <n v="20"/>
    <n v="18032"/>
    <n v="20"/>
    <n v="18032"/>
  </r>
  <r>
    <x v="8"/>
    <s v="FERNANDO  LOPEZ NARVAEZ"/>
    <s v="SEEDPACK"/>
    <x v="153"/>
    <x v="153"/>
    <n v="5400"/>
    <n v="1998000"/>
    <n v="5400"/>
    <n v="1998000"/>
    <n v="0"/>
    <n v="0"/>
    <n v="4320"/>
    <n v="1598400"/>
    <n v="4320"/>
    <n v="1680480"/>
    <n v="0"/>
    <n v="0"/>
    <n v="3240"/>
    <n v="1212480"/>
    <n v="374.22222222222223"/>
    <n v="4212"/>
    <n v="1576224"/>
    <n v="4212"/>
    <n v="1576224"/>
    <n v="4212"/>
    <n v="1576224"/>
  </r>
  <r>
    <x v="8"/>
    <s v="FERNANDO  LOPEZ NARVAEZ"/>
    <s v="SEEDPACK"/>
    <x v="113"/>
    <x v="113"/>
    <n v="2160"/>
    <n v="835920"/>
    <n v="720"/>
    <n v="278640"/>
    <n v="2880"/>
    <n v="1114560"/>
    <n v="2880"/>
    <n v="1114560"/>
    <n v="2880"/>
    <n v="1180800"/>
    <n v="0"/>
    <n v="0"/>
    <n v="1920"/>
    <n v="754080"/>
    <n v="392.75"/>
    <n v="2496"/>
    <n v="980304"/>
    <n v="2496"/>
    <n v="980304"/>
    <n v="2496"/>
    <n v="980304"/>
  </r>
  <r>
    <x v="8"/>
    <s v="FERNANDO  LOPEZ NARVAEZ"/>
    <s v="SEEDPACK"/>
    <x v="184"/>
    <x v="184"/>
    <n v="1320"/>
    <n v="819720"/>
    <n v="9900"/>
    <n v="6147900"/>
    <n v="0"/>
    <n v="0"/>
    <n v="1980"/>
    <n v="1229580"/>
    <n v="3300"/>
    <n v="2171400"/>
    <n v="0"/>
    <n v="0"/>
    <n v="2750"/>
    <n v="1728100"/>
    <n v="628.4"/>
    <n v="3575"/>
    <n v="2246530"/>
    <n v="3575"/>
    <n v="2246530"/>
    <n v="3575"/>
    <n v="2246530"/>
  </r>
  <r>
    <x v="8"/>
    <s v="FERNANDO  LOPEZ NARVAEZ"/>
    <s v="SEEDPACK"/>
    <x v="122"/>
    <x v="122"/>
    <n v="1050"/>
    <n v="819000"/>
    <n v="0"/>
    <n v="0"/>
    <n v="750"/>
    <n v="585000"/>
    <n v="0"/>
    <n v="0"/>
    <n v="750"/>
    <n v="620250"/>
    <n v="0"/>
    <n v="0"/>
    <n v="425"/>
    <n v="337375"/>
    <n v="793.82352941176475"/>
    <n v="553"/>
    <n v="438984.4117647059"/>
    <n v="553"/>
    <n v="438984.4117647059"/>
    <n v="553"/>
    <n v="438984.4117647059"/>
  </r>
  <r>
    <x v="8"/>
    <s v="FERNANDO  LOPEZ NARVAEZ"/>
    <s v="SEEDPACK"/>
    <x v="98"/>
    <x v="98"/>
    <n v="0"/>
    <n v="0"/>
    <n v="700"/>
    <n v="606200"/>
    <n v="1200"/>
    <n v="1039200"/>
    <n v="0"/>
    <n v="0"/>
    <n v="200"/>
    <n v="183600"/>
    <n v="0"/>
    <n v="0"/>
    <n v="350"/>
    <n v="304833"/>
    <n v="870.95142857142855"/>
    <n v="455"/>
    <n v="396282.89999999997"/>
    <n v="455"/>
    <n v="396282.89999999997"/>
    <n v="455"/>
    <n v="396282.89999999997"/>
  </r>
  <r>
    <x v="8"/>
    <s v="FERNANDO  LOPEZ NARVAEZ"/>
    <s v="SEEDPACK"/>
    <x v="101"/>
    <x v="101"/>
    <n v="0"/>
    <n v="0"/>
    <n v="180"/>
    <n v="177300"/>
    <n v="0"/>
    <n v="0"/>
    <n v="0"/>
    <n v="0"/>
    <n v="450"/>
    <n v="443250"/>
    <n v="0"/>
    <n v="0"/>
    <n v="105"/>
    <n v="103425"/>
    <n v="985"/>
    <n v="136"/>
    <n v="133960"/>
    <n v="136"/>
    <n v="133960"/>
    <n v="136"/>
    <n v="133960"/>
  </r>
  <r>
    <x v="8"/>
    <s v="FERNANDO  LOPEZ NARVAEZ"/>
    <s v="SEEDPACK"/>
    <x v="102"/>
    <x v="102"/>
    <n v="0"/>
    <n v="0"/>
    <n v="0"/>
    <n v="0"/>
    <n v="0"/>
    <n v="0"/>
    <n v="0"/>
    <n v="0"/>
    <n v="1800"/>
    <n v="972000"/>
    <n v="0"/>
    <n v="0"/>
    <n v="300"/>
    <n v="162000"/>
    <n v="540"/>
    <n v="390"/>
    <n v="210600"/>
    <n v="390"/>
    <n v="210600"/>
    <n v="390"/>
    <n v="210600"/>
  </r>
  <r>
    <x v="8"/>
    <s v="FERNANDO  LOPEZ NARVAEZ"/>
    <s v="SEEDPACK"/>
    <x v="104"/>
    <x v="104"/>
    <n v="0"/>
    <n v="0"/>
    <n v="420"/>
    <n v="320880"/>
    <n v="0"/>
    <n v="0"/>
    <n v="0"/>
    <n v="0"/>
    <n v="840"/>
    <n v="680400"/>
    <n v="0"/>
    <n v="0"/>
    <n v="210"/>
    <n v="166880"/>
    <n v="794.66666666666663"/>
    <n v="273"/>
    <n v="216944"/>
    <n v="273"/>
    <n v="216944"/>
    <n v="273"/>
    <n v="216944"/>
  </r>
  <r>
    <x v="8"/>
    <s v="FRANCISCO JAVIER ALZATE LOPEZ"/>
    <s v="SEEDPACK"/>
    <x v="122"/>
    <x v="122"/>
    <n v="0"/>
    <n v="0"/>
    <n v="0"/>
    <n v="0"/>
    <n v="0"/>
    <n v="0"/>
    <n v="0"/>
    <n v="0"/>
    <n v="150"/>
    <n v="118200"/>
    <n v="0"/>
    <n v="0"/>
    <n v="25"/>
    <n v="19700"/>
    <n v="788"/>
    <n v="32"/>
    <n v="25216"/>
    <n v="32"/>
    <n v="25216"/>
    <n v="32"/>
    <n v="25216"/>
  </r>
  <r>
    <x v="8"/>
    <s v="FRANCISCO JAVIER ALZATE LOPEZ"/>
    <s v="SEEDPACK"/>
    <x v="98"/>
    <x v="98"/>
    <n v="0"/>
    <n v="0"/>
    <n v="0"/>
    <n v="0"/>
    <n v="0"/>
    <n v="0"/>
    <n v="0"/>
    <n v="0"/>
    <n v="100"/>
    <n v="107800"/>
    <n v="0"/>
    <n v="0"/>
    <n v="17"/>
    <n v="17967"/>
    <n v="1056.8823529411766"/>
    <n v="22"/>
    <n v="23251.411764705885"/>
    <n v="22"/>
    <n v="23251.411764705885"/>
    <n v="22"/>
    <n v="23251.411764705885"/>
  </r>
  <r>
    <x v="8"/>
    <s v="FRANCISCO JAVIER ALZATE LOPEZ"/>
    <s v="Salseros"/>
    <x v="108"/>
    <x v="108"/>
    <n v="0"/>
    <n v="0"/>
    <n v="10000"/>
    <n v="350000"/>
    <n v="10000"/>
    <n v="350000"/>
    <n v="15000"/>
    <n v="525000"/>
    <n v="10000"/>
    <n v="350000"/>
    <n v="0"/>
    <n v="0"/>
    <n v="7500"/>
    <n v="262500"/>
    <n v="35"/>
    <n v="9750"/>
    <n v="341250"/>
    <n v="9750"/>
    <n v="341250"/>
    <n v="9750"/>
    <n v="341250"/>
  </r>
  <r>
    <x v="8"/>
    <s v="FRANCISCO JAVIER ALZATE LOPEZ"/>
    <s v="Salseros"/>
    <x v="110"/>
    <x v="110"/>
    <n v="0"/>
    <n v="0"/>
    <n v="10000"/>
    <n v="360000"/>
    <n v="10000"/>
    <n v="360000"/>
    <n v="15000"/>
    <n v="540000"/>
    <n v="10000"/>
    <n v="360000"/>
    <n v="0"/>
    <n v="0"/>
    <n v="7500"/>
    <n v="270000"/>
    <n v="36"/>
    <n v="9750"/>
    <n v="351000"/>
    <n v="9750"/>
    <n v="351000"/>
    <n v="9750"/>
    <n v="351000"/>
  </r>
  <r>
    <x v="8"/>
    <s v="FREDY ALBERTO CORDOBA HERNANDEZ  MACROSURTIDO"/>
    <s v="SEEDPACK"/>
    <x v="153"/>
    <x v="153"/>
    <n v="0"/>
    <n v="0"/>
    <n v="0"/>
    <n v="0"/>
    <n v="1080"/>
    <n v="347760"/>
    <n v="0"/>
    <n v="0"/>
    <n v="0"/>
    <n v="0"/>
    <n v="0"/>
    <n v="0"/>
    <n v="180"/>
    <n v="57960"/>
    <n v="322"/>
    <n v="234"/>
    <n v="75348"/>
    <n v="234"/>
    <n v="75348"/>
    <n v="234"/>
    <n v="75348"/>
  </r>
  <r>
    <x v="8"/>
    <s v="FREDY ALBERTO CORDOBA HERNANDEZ  MACROSURTIDO"/>
    <s v="SEEDPACK"/>
    <x v="113"/>
    <x v="113"/>
    <n v="2160"/>
    <n v="989280"/>
    <n v="0"/>
    <n v="0"/>
    <n v="720"/>
    <n v="329760"/>
    <n v="0"/>
    <n v="0"/>
    <n v="0"/>
    <n v="0"/>
    <n v="0"/>
    <n v="0"/>
    <n v="480"/>
    <n v="219840"/>
    <n v="458"/>
    <n v="624"/>
    <n v="285792"/>
    <n v="624"/>
    <n v="285792"/>
    <n v="624"/>
    <n v="285792"/>
  </r>
  <r>
    <x v="8"/>
    <s v="FREDY ALBERTO CORDOBA HERNANDEZ  MACROSURTIDO"/>
    <s v="SEEDPACK"/>
    <x v="123"/>
    <x v="123"/>
    <n v="500"/>
    <n v="303000"/>
    <n v="0"/>
    <n v="0"/>
    <n v="500"/>
    <n v="303000"/>
    <n v="0"/>
    <n v="0"/>
    <n v="0"/>
    <n v="0"/>
    <n v="0"/>
    <n v="0"/>
    <n v="167"/>
    <n v="101000"/>
    <n v="604.7904191616766"/>
    <n v="217"/>
    <n v="131239.52095808383"/>
    <n v="217"/>
    <n v="131239.52095808383"/>
    <n v="217"/>
    <n v="131239.52095808383"/>
  </r>
  <r>
    <x v="8"/>
    <s v="FREDY ALBERTO CORDOBA HERNANDEZ  MACROSURTIDO"/>
    <s v="SEEDPACK"/>
    <x v="156"/>
    <x v="156"/>
    <n v="300"/>
    <n v="257400"/>
    <n v="0"/>
    <n v="0"/>
    <n v="150"/>
    <n v="128700"/>
    <n v="0"/>
    <n v="0"/>
    <n v="0"/>
    <n v="0"/>
    <n v="0"/>
    <n v="0"/>
    <n v="75"/>
    <n v="64350"/>
    <n v="858"/>
    <n v="98"/>
    <n v="84084"/>
    <n v="98"/>
    <n v="84084"/>
    <n v="98"/>
    <n v="84084"/>
  </r>
  <r>
    <x v="8"/>
    <s v="FREDY ALBERTO CORDOBA HERNANDEZ  MACROSURTIDO"/>
    <s v="SEEDPACK"/>
    <x v="96"/>
    <x v="96"/>
    <n v="200"/>
    <n v="294400"/>
    <n v="0"/>
    <n v="0"/>
    <n v="0"/>
    <n v="0"/>
    <n v="0"/>
    <n v="0"/>
    <n v="0"/>
    <n v="0"/>
    <n v="0"/>
    <n v="0"/>
    <n v="33"/>
    <n v="49067"/>
    <n v="1486.878787878788"/>
    <n v="43"/>
    <n v="63935.787878787887"/>
    <n v="43"/>
    <n v="63935.787878787887"/>
    <n v="43"/>
    <n v="63935.787878787887"/>
  </r>
  <r>
    <x v="8"/>
    <s v="FREDY ALBERTO CORDOBA HERNANDEZ  MACROSURTIDO"/>
    <s v="SEEDPACK"/>
    <x v="102"/>
    <x v="102"/>
    <n v="720"/>
    <n v="345600"/>
    <n v="0"/>
    <n v="0"/>
    <n v="360"/>
    <n v="172800"/>
    <n v="0"/>
    <n v="0"/>
    <n v="0"/>
    <n v="0"/>
    <n v="0"/>
    <n v="0"/>
    <n v="180"/>
    <n v="86400"/>
    <n v="480"/>
    <n v="234"/>
    <n v="112320"/>
    <n v="234"/>
    <n v="112320"/>
    <n v="234"/>
    <n v="112320"/>
  </r>
  <r>
    <x v="8"/>
    <s v="FREDY ALBERTO CORDOBA HERNANDEZ  MACROSURTIDO"/>
    <s v="SEEDPACK"/>
    <x v="104"/>
    <x v="104"/>
    <n v="1260"/>
    <n v="832860"/>
    <n v="0"/>
    <n v="0"/>
    <n v="210"/>
    <n v="138810"/>
    <n v="0"/>
    <n v="0"/>
    <n v="0"/>
    <n v="0"/>
    <n v="0"/>
    <n v="0"/>
    <n v="245"/>
    <n v="161945"/>
    <n v="661"/>
    <n v="318"/>
    <n v="210198"/>
    <n v="318"/>
    <n v="210198"/>
    <n v="318"/>
    <n v="210198"/>
  </r>
  <r>
    <x v="8"/>
    <s v="GRUPO ARREBATAO SAS"/>
    <s v="SEEDPACK"/>
    <x v="156"/>
    <x v="156"/>
    <n v="200"/>
    <n v="204200"/>
    <n v="0"/>
    <n v="0"/>
    <n v="0"/>
    <n v="0"/>
    <n v="0"/>
    <n v="0"/>
    <n v="0"/>
    <n v="0"/>
    <n v="0"/>
    <n v="0"/>
    <n v="33"/>
    <n v="34033"/>
    <n v="1031.3030303030303"/>
    <n v="43"/>
    <n v="44346.030303030304"/>
    <n v="43"/>
    <n v="44346.030303030304"/>
    <n v="43"/>
    <n v="44346.030303030304"/>
  </r>
  <r>
    <x v="8"/>
    <s v="GRUPO ARREBATAO SAS"/>
    <s v="SEEDPACK"/>
    <x v="279"/>
    <x v="278"/>
    <n v="900"/>
    <n v="1050300"/>
    <n v="0"/>
    <n v="0"/>
    <n v="150"/>
    <n v="175050"/>
    <n v="1200"/>
    <n v="1400400"/>
    <n v="0"/>
    <n v="0"/>
    <n v="0"/>
    <n v="0"/>
    <n v="375"/>
    <n v="437625"/>
    <n v="1167"/>
    <n v="488"/>
    <n v="569496"/>
    <n v="488"/>
    <n v="569496"/>
    <n v="488"/>
    <n v="569496"/>
  </r>
  <r>
    <x v="8"/>
    <s v="GRUPO ARREBATAO SAS"/>
    <s v="SEEDPACK"/>
    <x v="280"/>
    <x v="279"/>
    <n v="0"/>
    <n v="0"/>
    <n v="300"/>
    <n v="478500"/>
    <n v="100"/>
    <n v="159500"/>
    <n v="1400"/>
    <n v="2233000"/>
    <n v="0"/>
    <n v="0"/>
    <n v="0"/>
    <n v="0"/>
    <n v="300"/>
    <n v="478500"/>
    <n v="1595"/>
    <n v="390"/>
    <n v="622050"/>
    <n v="390"/>
    <n v="622050"/>
    <n v="390"/>
    <n v="622050"/>
  </r>
  <r>
    <x v="8"/>
    <s v="GRUPO GUAVI SAS"/>
    <s v="SEEDPACK"/>
    <x v="281"/>
    <x v="280"/>
    <n v="0"/>
    <n v="0"/>
    <n v="0"/>
    <n v="0"/>
    <n v="0"/>
    <n v="0"/>
    <n v="0"/>
    <n v="0"/>
    <n v="0"/>
    <n v="0"/>
    <n v="23619"/>
    <n v="2952381"/>
    <n v="3937"/>
    <n v="492063"/>
    <n v="124.98425196850394"/>
    <n v="5117"/>
    <n v="639544.41732283472"/>
    <n v="5117"/>
    <n v="639544.41732283472"/>
    <n v="5117"/>
    <n v="639544.41732283472"/>
  </r>
  <r>
    <x v="8"/>
    <s v="GRUPO GUAVI SAS"/>
    <s v="SEEDPACK"/>
    <x v="118"/>
    <x v="118"/>
    <n v="0"/>
    <n v="0"/>
    <n v="0"/>
    <n v="0"/>
    <n v="0"/>
    <n v="0"/>
    <n v="0"/>
    <n v="0"/>
    <n v="600"/>
    <n v="281400"/>
    <n v="0"/>
    <n v="0"/>
    <n v="100"/>
    <n v="46900"/>
    <n v="469"/>
    <n v="130"/>
    <n v="60970"/>
    <n v="130"/>
    <n v="60970"/>
    <n v="130"/>
    <n v="60970"/>
  </r>
  <r>
    <x v="8"/>
    <s v="GRUPO GUAVI SAS"/>
    <s v="SEEDPACK"/>
    <x v="119"/>
    <x v="119"/>
    <n v="0"/>
    <n v="0"/>
    <n v="0"/>
    <n v="0"/>
    <n v="0"/>
    <n v="0"/>
    <n v="0"/>
    <n v="0"/>
    <n v="180"/>
    <n v="133200"/>
    <n v="0"/>
    <n v="0"/>
    <n v="30"/>
    <n v="22200"/>
    <n v="740"/>
    <n v="39"/>
    <n v="28860"/>
    <n v="39"/>
    <n v="28860"/>
    <n v="39"/>
    <n v="28860"/>
  </r>
  <r>
    <x v="8"/>
    <s v="GRUPO HACIENDA SAS"/>
    <s v="BOLSAS"/>
    <x v="150"/>
    <x v="150"/>
    <n v="1500"/>
    <n v="1062000"/>
    <n v="600"/>
    <n v="424800"/>
    <n v="600"/>
    <n v="424800"/>
    <n v="600"/>
    <n v="424800"/>
    <n v="900"/>
    <n v="637200"/>
    <n v="886"/>
    <n v="627086"/>
    <n v="848"/>
    <n v="600114"/>
    <n v="707.68160377358492"/>
    <n v="1102"/>
    <n v="779865.1273584906"/>
    <n v="1102"/>
    <n v="779865.1273584906"/>
    <n v="1102"/>
    <n v="779865.1273584906"/>
  </r>
  <r>
    <x v="8"/>
    <s v="GRUPO HACIENDA SAS"/>
    <s v="BOLSAS"/>
    <x v="151"/>
    <x v="151"/>
    <n v="1250"/>
    <n v="773750"/>
    <n v="500"/>
    <n v="309500"/>
    <n v="750"/>
    <n v="464250"/>
    <n v="500"/>
    <n v="309500"/>
    <n v="500"/>
    <n v="309500"/>
    <n v="738"/>
    <n v="456881"/>
    <n v="706"/>
    <n v="437230"/>
    <n v="619.3059490084986"/>
    <n v="918"/>
    <n v="568522.86118980171"/>
    <n v="918"/>
    <n v="568522.86118980171"/>
    <n v="918"/>
    <n v="568522.86118980171"/>
  </r>
  <r>
    <x v="8"/>
    <s v="GRUPO NONNA SAS"/>
    <s v="SEEDPACK"/>
    <x v="98"/>
    <x v="98"/>
    <n v="3000"/>
    <n v="3597000"/>
    <n v="700"/>
    <n v="839300"/>
    <n v="1400"/>
    <n v="1678600"/>
    <n v="1400"/>
    <n v="1678600"/>
    <n v="1400"/>
    <n v="1678600"/>
    <n v="3100"/>
    <n v="3865700"/>
    <n v="1833"/>
    <n v="2222967"/>
    <n v="1212.7479541734861"/>
    <n v="2383"/>
    <n v="2889978.3747954173"/>
    <n v="2383"/>
    <n v="2889978.3747954173"/>
    <n v="2383"/>
    <n v="2889978.3747954173"/>
  </r>
  <r>
    <x v="8"/>
    <s v="INVERSIONES CASA COLONIAL SAS"/>
    <s v="SEEDPACK"/>
    <x v="94"/>
    <x v="94"/>
    <n v="0"/>
    <n v="0"/>
    <n v="2000"/>
    <n v="162000"/>
    <n v="0"/>
    <n v="0"/>
    <n v="4000"/>
    <n v="324000"/>
    <n v="0"/>
    <n v="0"/>
    <n v="0"/>
    <n v="0"/>
    <n v="1000"/>
    <n v="81000"/>
    <n v="81"/>
    <n v="1300"/>
    <n v="105300"/>
    <n v="1300"/>
    <n v="105300"/>
    <n v="1300"/>
    <n v="105300"/>
  </r>
  <r>
    <x v="8"/>
    <s v="INVERSIONES MERCA Z S.A.S"/>
    <s v="PLATOS"/>
    <x v="152"/>
    <x v="152"/>
    <n v="0"/>
    <n v="0"/>
    <n v="0"/>
    <n v="0"/>
    <n v="24"/>
    <n v="271200"/>
    <n v="0"/>
    <n v="0"/>
    <n v="0"/>
    <n v="0"/>
    <n v="35"/>
    <n v="400343"/>
    <n v="10"/>
    <n v="111924"/>
    <n v="11192.4"/>
    <n v="13"/>
    <n v="145501.19999999998"/>
    <n v="13"/>
    <n v="145501.19999999998"/>
    <n v="13"/>
    <n v="145501.19999999998"/>
  </r>
  <r>
    <x v="8"/>
    <s v="INVERSIONES MERCA Z S.A.S"/>
    <s v="SEEDPACK"/>
    <x v="166"/>
    <x v="166"/>
    <n v="0"/>
    <n v="0"/>
    <n v="0"/>
    <n v="0"/>
    <n v="30"/>
    <n v="325800"/>
    <n v="0"/>
    <n v="0"/>
    <n v="0"/>
    <n v="0"/>
    <n v="44"/>
    <n v="480943"/>
    <n v="12"/>
    <n v="134457"/>
    <n v="11204.75"/>
    <n v="16"/>
    <n v="179276"/>
    <n v="16"/>
    <n v="179276"/>
    <n v="16"/>
    <n v="179276"/>
  </r>
  <r>
    <x v="8"/>
    <s v="INVERSIONES MERCA Z S.A.S"/>
    <s v="SEEDPACK"/>
    <x v="123"/>
    <x v="123"/>
    <n v="0"/>
    <n v="0"/>
    <n v="0"/>
    <n v="0"/>
    <n v="0"/>
    <n v="0"/>
    <n v="0"/>
    <n v="0"/>
    <n v="0"/>
    <n v="0"/>
    <n v="74"/>
    <n v="927048"/>
    <n v="12"/>
    <n v="154508"/>
    <n v="12875.666666666666"/>
    <n v="16"/>
    <n v="206010.66666666666"/>
    <n v="16"/>
    <n v="206010.66666666666"/>
    <n v="16"/>
    <n v="206010.66666666666"/>
  </r>
  <r>
    <x v="8"/>
    <s v="INVERSIONES MERCA Z S.A.S"/>
    <s v="SEEDPACK"/>
    <x v="120"/>
    <x v="120"/>
    <n v="0"/>
    <n v="0"/>
    <n v="0"/>
    <n v="0"/>
    <n v="15"/>
    <n v="257100"/>
    <n v="0"/>
    <n v="0"/>
    <n v="0"/>
    <n v="0"/>
    <n v="44"/>
    <n v="759057"/>
    <n v="10"/>
    <n v="169360"/>
    <n v="16936"/>
    <n v="13"/>
    <n v="220168"/>
    <n v="13"/>
    <n v="220168"/>
    <n v="13"/>
    <n v="220168"/>
  </r>
  <r>
    <x v="8"/>
    <s v="INVERSIONES MERCA Z S.A.S"/>
    <s v="SEEDPACK"/>
    <x v="156"/>
    <x v="156"/>
    <n v="0"/>
    <n v="0"/>
    <n v="0"/>
    <n v="0"/>
    <n v="15"/>
    <n v="138300"/>
    <n v="0"/>
    <n v="0"/>
    <n v="0"/>
    <n v="0"/>
    <n v="22"/>
    <n v="204157"/>
    <n v="6"/>
    <n v="57076"/>
    <n v="9512.6666666666661"/>
    <n v="8"/>
    <n v="76101.333333333328"/>
    <n v="8"/>
    <n v="76101.333333333328"/>
    <n v="8"/>
    <n v="76101.333333333328"/>
  </r>
  <r>
    <x v="8"/>
    <s v="INVERSIONES MERCA Z S.A.S"/>
    <s v="SEEDPACK"/>
    <x v="95"/>
    <x v="95"/>
    <n v="0"/>
    <n v="0"/>
    <n v="0"/>
    <n v="0"/>
    <n v="0"/>
    <n v="0"/>
    <n v="0"/>
    <n v="0"/>
    <n v="0"/>
    <n v="0"/>
    <n v="15"/>
    <n v="179948"/>
    <n v="2"/>
    <n v="29991"/>
    <n v="14995.5"/>
    <n v="3"/>
    <n v="44986.5"/>
    <n v="3"/>
    <n v="44986.5"/>
    <n v="3"/>
    <n v="44986.5"/>
  </r>
  <r>
    <x v="8"/>
    <s v="INVERSIONES MERCA Z S.A.S"/>
    <s v="SEEDPACK"/>
    <x v="96"/>
    <x v="96"/>
    <n v="0"/>
    <n v="0"/>
    <n v="0"/>
    <n v="0"/>
    <n v="0"/>
    <n v="0"/>
    <n v="0"/>
    <n v="0"/>
    <n v="0"/>
    <n v="0"/>
    <n v="30"/>
    <n v="452010"/>
    <n v="5"/>
    <n v="75335"/>
    <n v="15067"/>
    <n v="6"/>
    <n v="90402"/>
    <n v="6"/>
    <n v="90402"/>
    <n v="6"/>
    <n v="90402"/>
  </r>
  <r>
    <x v="8"/>
    <s v="INVERSIONES MERCA Z S.A.S"/>
    <s v="SEEDPACK"/>
    <x v="98"/>
    <x v="98"/>
    <n v="0"/>
    <n v="0"/>
    <n v="0"/>
    <n v="0"/>
    <n v="0"/>
    <n v="0"/>
    <n v="0"/>
    <n v="0"/>
    <n v="0"/>
    <n v="0"/>
    <n v="15"/>
    <n v="173600"/>
    <n v="2"/>
    <n v="28933"/>
    <n v="14466.5"/>
    <n v="3"/>
    <n v="43399.5"/>
    <n v="3"/>
    <n v="43399.5"/>
    <n v="3"/>
    <n v="43399.5"/>
  </r>
  <r>
    <x v="8"/>
    <s v="INVERSIONES MERCA Z S.A.S"/>
    <s v="SEEDPACK"/>
    <x v="130"/>
    <x v="130"/>
    <n v="0"/>
    <n v="0"/>
    <n v="0"/>
    <n v="0"/>
    <n v="0"/>
    <n v="0"/>
    <n v="0"/>
    <n v="0"/>
    <n v="0"/>
    <n v="0"/>
    <n v="30"/>
    <n v="434590"/>
    <n v="5"/>
    <n v="72432"/>
    <n v="14486.4"/>
    <n v="6"/>
    <n v="86918.399999999994"/>
    <n v="6"/>
    <n v="86918.399999999994"/>
    <n v="6"/>
    <n v="86918.399999999994"/>
  </r>
  <r>
    <x v="8"/>
    <s v="INVERSIONES MERCA Z S.A.S"/>
    <s v="SEEDPACK"/>
    <x v="99"/>
    <x v="99"/>
    <n v="0"/>
    <n v="0"/>
    <n v="0"/>
    <n v="0"/>
    <n v="0"/>
    <n v="0"/>
    <n v="0"/>
    <n v="0"/>
    <n v="0"/>
    <n v="0"/>
    <n v="30"/>
    <n v="547076"/>
    <n v="5"/>
    <n v="91179"/>
    <n v="18235.8"/>
    <n v="6"/>
    <n v="109414.79999999999"/>
    <n v="6"/>
    <n v="109414.79999999999"/>
    <n v="6"/>
    <n v="109414.79999999999"/>
  </r>
  <r>
    <x v="8"/>
    <s v="INVERSIONES MERCA Z S.A.S"/>
    <s v="SEEDPACK"/>
    <x v="101"/>
    <x v="101"/>
    <n v="0"/>
    <n v="0"/>
    <n v="0"/>
    <n v="0"/>
    <n v="0"/>
    <n v="0"/>
    <n v="0"/>
    <n v="0"/>
    <n v="0"/>
    <n v="0"/>
    <n v="27"/>
    <n v="405746"/>
    <n v="4"/>
    <n v="67624"/>
    <n v="16906"/>
    <n v="6"/>
    <n v="101436"/>
    <n v="6"/>
    <n v="101436"/>
    <n v="6"/>
    <n v="101436"/>
  </r>
  <r>
    <x v="8"/>
    <s v="INVERSIONES MERCA Z S.A.S"/>
    <s v="SEEDPACK"/>
    <x v="104"/>
    <x v="104"/>
    <n v="0"/>
    <n v="0"/>
    <n v="0"/>
    <n v="0"/>
    <n v="14"/>
    <n v="144270"/>
    <n v="0"/>
    <n v="0"/>
    <n v="0"/>
    <n v="0"/>
    <n v="0"/>
    <n v="0"/>
    <n v="2"/>
    <n v="24045"/>
    <n v="12022.5"/>
    <n v="3"/>
    <n v="36067.5"/>
    <n v="3"/>
    <n v="36067.5"/>
    <n v="3"/>
    <n v="36067.5"/>
  </r>
  <r>
    <x v="8"/>
    <s v="INVERSIONES MOLINA AGUIRRE SAS"/>
    <s v="SEEDPACK"/>
    <x v="282"/>
    <x v="281"/>
    <n v="400"/>
    <n v="1017600"/>
    <n v="0"/>
    <n v="0"/>
    <n v="0"/>
    <n v="0"/>
    <n v="0"/>
    <n v="0"/>
    <n v="0"/>
    <n v="0"/>
    <n v="156"/>
    <n v="422016"/>
    <n v="93"/>
    <n v="239936"/>
    <n v="2579.9569892473119"/>
    <n v="121"/>
    <n v="312174.79569892475"/>
    <n v="121"/>
    <n v="312174.79569892475"/>
    <n v="121"/>
    <n v="312174.79569892475"/>
  </r>
  <r>
    <x v="8"/>
    <s v="INVERSIONES MOLINA AGUIRRE SAS"/>
    <s v="SEEDPACK"/>
    <x v="283"/>
    <x v="282"/>
    <n v="400"/>
    <n v="1392000"/>
    <n v="0"/>
    <n v="0"/>
    <n v="0"/>
    <n v="0"/>
    <n v="0"/>
    <n v="0"/>
    <n v="0"/>
    <n v="0"/>
    <n v="177"/>
    <n v="653480"/>
    <n v="96"/>
    <n v="340913"/>
    <n v="3551.1770833333335"/>
    <n v="125"/>
    <n v="443897.13541666669"/>
    <n v="125"/>
    <n v="443897.13541666669"/>
    <n v="125"/>
    <n v="443897.13541666669"/>
  </r>
  <r>
    <x v="8"/>
    <s v="INVERSIONES MONTES &amp; ARGUELLES SAS"/>
    <s v="SEEDPACK"/>
    <x v="284"/>
    <x v="283"/>
    <n v="0"/>
    <n v="0"/>
    <n v="2000"/>
    <n v="3580000"/>
    <n v="0"/>
    <n v="0"/>
    <n v="0"/>
    <n v="0"/>
    <n v="0"/>
    <n v="0"/>
    <n v="0"/>
    <n v="0"/>
    <n v="333"/>
    <n v="596667"/>
    <n v="1791.7927927927929"/>
    <n v="433"/>
    <n v="775846.27927927929"/>
    <n v="433"/>
    <n v="775846.27927927929"/>
    <n v="433"/>
    <n v="775846.27927927929"/>
  </r>
  <r>
    <x v="8"/>
    <s v="INVERSIONES PASILLA SAS"/>
    <s v="SEEDPACK"/>
    <x v="123"/>
    <x v="123"/>
    <n v="0"/>
    <n v="0"/>
    <n v="0"/>
    <n v="0"/>
    <n v="0"/>
    <n v="0"/>
    <n v="1000"/>
    <n v="785000"/>
    <n v="0"/>
    <n v="0"/>
    <n v="1476"/>
    <n v="1158810"/>
    <n v="413"/>
    <n v="323968"/>
    <n v="784.42615012106535"/>
    <n v="537"/>
    <n v="421236.84261501208"/>
    <n v="537"/>
    <n v="421236.84261501208"/>
    <n v="537"/>
    <n v="421236.84261501208"/>
  </r>
  <r>
    <x v="8"/>
    <s v="INVERSIONES PASILLA SAS"/>
    <s v="SEEDPACK"/>
    <x v="124"/>
    <x v="124"/>
    <n v="0"/>
    <n v="0"/>
    <n v="0"/>
    <n v="0"/>
    <n v="0"/>
    <n v="0"/>
    <n v="0"/>
    <n v="0"/>
    <n v="1000"/>
    <n v="785000"/>
    <n v="0"/>
    <n v="0"/>
    <n v="167"/>
    <n v="130833"/>
    <n v="783.43113772455092"/>
    <n v="217"/>
    <n v="170004.55688622754"/>
    <n v="217"/>
    <n v="170004.55688622754"/>
    <n v="217"/>
    <n v="170004.55688622754"/>
  </r>
  <r>
    <x v="8"/>
    <s v="JOHNNY ALBERTO BURGOS BORRAS"/>
    <s v="SEEDPACK"/>
    <x v="94"/>
    <x v="94"/>
    <n v="0"/>
    <n v="0"/>
    <n v="10000"/>
    <n v="860000"/>
    <n v="0"/>
    <n v="0"/>
    <n v="10000"/>
    <n v="860000"/>
    <n v="0"/>
    <n v="0"/>
    <n v="14762"/>
    <n v="1269524"/>
    <n v="5794"/>
    <n v="498254"/>
    <n v="85.994822229892989"/>
    <n v="7532"/>
    <n v="647713.00103555399"/>
    <n v="7532"/>
    <n v="647713.00103555399"/>
    <n v="7532"/>
    <n v="647713.00103555399"/>
  </r>
  <r>
    <x v="8"/>
    <s v="JOSE ALONSO GIRALDO LLANO"/>
    <s v="BOLSAS"/>
    <x v="140"/>
    <x v="140"/>
    <n v="1000"/>
    <n v="662000"/>
    <n v="0"/>
    <n v="0"/>
    <n v="0"/>
    <n v="0"/>
    <n v="0"/>
    <n v="0"/>
    <n v="800"/>
    <n v="529600"/>
    <n v="0"/>
    <n v="0"/>
    <n v="300"/>
    <n v="198600"/>
    <n v="662"/>
    <n v="390"/>
    <n v="258180"/>
    <n v="390"/>
    <n v="258180"/>
    <n v="390"/>
    <n v="258180"/>
  </r>
  <r>
    <x v="8"/>
    <s v="JOSE ALONSO GIRALDO LLANO"/>
    <s v="SEEDPACK"/>
    <x v="169"/>
    <x v="169"/>
    <n v="400"/>
    <n v="1532400"/>
    <n v="0"/>
    <n v="0"/>
    <n v="0"/>
    <n v="0"/>
    <n v="0"/>
    <n v="0"/>
    <n v="0"/>
    <n v="0"/>
    <n v="0"/>
    <n v="0"/>
    <n v="67"/>
    <n v="255400"/>
    <n v="3811.9402985074626"/>
    <n v="87"/>
    <n v="331638.80597014923"/>
    <n v="87"/>
    <n v="331638.80597014923"/>
    <n v="87"/>
    <n v="331638.80597014923"/>
  </r>
  <r>
    <x v="8"/>
    <s v="JOSE ALONSO GIRALDO LLANO"/>
    <s v="SEEDPACK"/>
    <x v="145"/>
    <x v="145"/>
    <n v="200"/>
    <n v="618400"/>
    <n v="0"/>
    <n v="0"/>
    <n v="0"/>
    <n v="0"/>
    <n v="0"/>
    <n v="0"/>
    <n v="0"/>
    <n v="0"/>
    <n v="0"/>
    <n v="0"/>
    <n v="33"/>
    <n v="103067"/>
    <n v="3123.242424242424"/>
    <n v="43"/>
    <n v="134299.42424242423"/>
    <n v="43"/>
    <n v="134299.42424242423"/>
    <n v="43"/>
    <n v="134299.42424242423"/>
  </r>
  <r>
    <x v="8"/>
    <s v="JOSE ALONSO GIRALDO LLANO"/>
    <s v="SEEDPACK"/>
    <x v="146"/>
    <x v="146"/>
    <n v="450"/>
    <n v="1246050"/>
    <n v="0"/>
    <n v="0"/>
    <n v="0"/>
    <n v="0"/>
    <n v="0"/>
    <n v="0"/>
    <n v="0"/>
    <n v="0"/>
    <n v="0"/>
    <n v="0"/>
    <n v="75"/>
    <n v="207675"/>
    <n v="2769"/>
    <n v="98"/>
    <n v="271362"/>
    <n v="98"/>
    <n v="271362"/>
    <n v="98"/>
    <n v="271362"/>
  </r>
  <r>
    <x v="8"/>
    <s v="JOSE ALONSO GIRALDO LLANO"/>
    <s v="Salseros"/>
    <x v="108"/>
    <x v="108"/>
    <n v="25000"/>
    <n v="900000"/>
    <n v="150000"/>
    <n v="5400000"/>
    <n v="0"/>
    <n v="0"/>
    <n v="0"/>
    <n v="0"/>
    <n v="30000"/>
    <n v="1080000"/>
    <n v="0"/>
    <n v="0"/>
    <n v="34167"/>
    <n v="1230000"/>
    <n v="35.999648783914303"/>
    <n v="44417"/>
    <n v="1598996.4000351215"/>
    <n v="44417"/>
    <n v="1598996.4000351215"/>
    <n v="44417"/>
    <n v="1598996.4000351215"/>
  </r>
  <r>
    <x v="8"/>
    <s v="JOSE ALONSO GIRALDO LLANO"/>
    <s v="Salseros"/>
    <x v="110"/>
    <x v="110"/>
    <n v="15000"/>
    <n v="555000"/>
    <n v="50000"/>
    <n v="1850000"/>
    <n v="0"/>
    <n v="0"/>
    <n v="0"/>
    <n v="0"/>
    <n v="0"/>
    <n v="0"/>
    <n v="0"/>
    <n v="0"/>
    <n v="10833"/>
    <n v="400833"/>
    <n v="37.001107726391581"/>
    <n v="14083"/>
    <n v="521086.60011077265"/>
    <n v="14083"/>
    <n v="521086.60011077265"/>
    <n v="14083"/>
    <n v="521086.60011077265"/>
  </r>
  <r>
    <x v="8"/>
    <s v="JOSE MIGUEL CORDOBA GOMEZ"/>
    <s v="SEEDPACK"/>
    <x v="104"/>
    <x v="104"/>
    <n v="0"/>
    <n v="0"/>
    <n v="420"/>
    <n v="277620"/>
    <n v="0"/>
    <n v="0"/>
    <n v="0"/>
    <n v="0"/>
    <n v="0"/>
    <n v="0"/>
    <n v="0"/>
    <n v="0"/>
    <n v="70"/>
    <n v="46270"/>
    <n v="661"/>
    <n v="91"/>
    <n v="60151"/>
    <n v="91"/>
    <n v="60151"/>
    <n v="91"/>
    <n v="60151"/>
  </r>
  <r>
    <x v="8"/>
    <s v="JUAN CAMILO CARIPA VILLEGAS"/>
    <s v="BOLSAS"/>
    <x v="150"/>
    <x v="150"/>
    <n v="0"/>
    <n v="0"/>
    <n v="0"/>
    <n v="0"/>
    <n v="0"/>
    <n v="0"/>
    <n v="900"/>
    <n v="515700"/>
    <n v="900"/>
    <n v="515700"/>
    <n v="2657"/>
    <n v="1522543"/>
    <n v="743"/>
    <n v="425657"/>
    <n v="572.88963660834452"/>
    <n v="966"/>
    <n v="553411.38896366081"/>
    <n v="966"/>
    <n v="553411.38896366081"/>
    <n v="966"/>
    <n v="553411.38896366081"/>
  </r>
  <r>
    <x v="8"/>
    <s v="JUAN CAMILO CARIPA VILLEGAS"/>
    <s v="SEEDPACK"/>
    <x v="122"/>
    <x v="122"/>
    <n v="0"/>
    <n v="0"/>
    <n v="0"/>
    <n v="0"/>
    <n v="0"/>
    <n v="0"/>
    <n v="300"/>
    <n v="263400"/>
    <n v="0"/>
    <n v="0"/>
    <n v="1993"/>
    <n v="1749729"/>
    <n v="382"/>
    <n v="335521"/>
    <n v="878.32722513089004"/>
    <n v="497"/>
    <n v="436528.63089005236"/>
    <n v="497"/>
    <n v="436528.63089005236"/>
    <n v="497"/>
    <n v="436528.63089005236"/>
  </r>
  <r>
    <x v="8"/>
    <s v="JUAN CAMILO CARIPA VILLEGAS"/>
    <s v="SEEDPACK"/>
    <x v="285"/>
    <x v="284"/>
    <n v="1350"/>
    <n v="1235250"/>
    <n v="1200"/>
    <n v="1098000"/>
    <n v="1950"/>
    <n v="1784250"/>
    <n v="1730"/>
    <n v="1582950"/>
    <n v="1200"/>
    <n v="1174500"/>
    <n v="598"/>
    <n v="573943"/>
    <n v="1338"/>
    <n v="1241482"/>
    <n v="927.86397608370703"/>
    <n v="1739"/>
    <n v="1613555.4544095665"/>
    <n v="1739"/>
    <n v="1613555.4544095665"/>
    <n v="1739"/>
    <n v="1613555.4544095665"/>
  </r>
  <r>
    <x v="8"/>
    <s v="JUAN CAMILO CARIPA VILLEGAS"/>
    <s v="SEEDPACK"/>
    <x v="98"/>
    <x v="98"/>
    <n v="0"/>
    <n v="0"/>
    <n v="0"/>
    <n v="0"/>
    <n v="0"/>
    <n v="0"/>
    <n v="0"/>
    <n v="0"/>
    <n v="0"/>
    <n v="0"/>
    <n v="1329"/>
    <n v="1592957"/>
    <n v="221"/>
    <n v="265493"/>
    <n v="1201.3257918552035"/>
    <n v="288"/>
    <n v="345981.82805429865"/>
    <n v="288"/>
    <n v="345981.82805429865"/>
    <n v="288"/>
    <n v="345981.82805429865"/>
  </r>
  <r>
    <x v="8"/>
    <s v="JUAN CAMILO CARIPA VILLEGAS"/>
    <s v="SEEDPACK"/>
    <x v="286"/>
    <x v="285"/>
    <n v="1700"/>
    <n v="1898900"/>
    <n v="1200"/>
    <n v="1340400"/>
    <n v="2000"/>
    <n v="2234000"/>
    <n v="1600"/>
    <n v="1787200"/>
    <n v="800"/>
    <n v="941600"/>
    <n v="1200"/>
    <n v="1412568"/>
    <n v="1417"/>
    <n v="1602445"/>
    <n v="1130.8715596330276"/>
    <n v="1842"/>
    <n v="2083065.4128440367"/>
    <n v="1842"/>
    <n v="2083065.4128440367"/>
    <n v="1842"/>
    <n v="2083065.4128440367"/>
  </r>
  <r>
    <x v="8"/>
    <s v="KIVE ANDINA S.A.S"/>
    <s v="PLATOS"/>
    <x v="115"/>
    <x v="115"/>
    <n v="0"/>
    <n v="0"/>
    <n v="0"/>
    <n v="0"/>
    <n v="0"/>
    <n v="0"/>
    <n v="0"/>
    <n v="0"/>
    <n v="720"/>
    <n v="208080"/>
    <n v="0"/>
    <n v="0"/>
    <n v="120"/>
    <n v="34680"/>
    <n v="289"/>
    <n v="156"/>
    <n v="45084"/>
    <n v="156"/>
    <n v="45084"/>
    <n v="156"/>
    <n v="45084"/>
  </r>
  <r>
    <x v="8"/>
    <s v="KIVE ANDINA S.A.S"/>
    <s v="SEEDPACK"/>
    <x v="94"/>
    <x v="94"/>
    <n v="20000"/>
    <n v="1580000"/>
    <n v="40000"/>
    <n v="3160000"/>
    <n v="50000"/>
    <n v="3740000"/>
    <n v="10000"/>
    <n v="790000"/>
    <n v="70000"/>
    <n v="5390000"/>
    <n v="103333"/>
    <n v="8060000"/>
    <n v="48889"/>
    <n v="3786667"/>
    <n v="77.454376240054003"/>
    <n v="100000"/>
    <n v="7745437.6240054006"/>
    <n v="100000"/>
    <n v="7745437.6240054006"/>
    <n v="100000"/>
    <n v="7745437.6240054006"/>
  </r>
  <r>
    <x v="8"/>
    <s v="KIVE ANDINA S.A.S"/>
    <s v="SEEDPACK"/>
    <x v="153"/>
    <x v="153"/>
    <n v="0"/>
    <n v="0"/>
    <n v="0"/>
    <n v="0"/>
    <n v="0"/>
    <n v="0"/>
    <n v="0"/>
    <n v="0"/>
    <n v="0"/>
    <n v="0"/>
    <n v="1594"/>
    <n v="494229"/>
    <n v="266"/>
    <n v="82371"/>
    <n v="309.66541353383457"/>
    <n v="5400"/>
    <n v="1672193.2330827066"/>
    <n v="5400"/>
    <n v="1672193.2330827066"/>
    <n v="5400"/>
    <n v="1672193.2330827066"/>
  </r>
  <r>
    <x v="8"/>
    <s v="KIVE ANDINA S.A.S"/>
    <s v="SEEDPACK"/>
    <x v="166"/>
    <x v="166"/>
    <n v="0"/>
    <n v="0"/>
    <n v="0"/>
    <n v="0"/>
    <n v="0"/>
    <n v="0"/>
    <n v="0"/>
    <n v="0"/>
    <n v="0"/>
    <n v="0"/>
    <n v="886"/>
    <n v="419829"/>
    <n v="148"/>
    <n v="69971"/>
    <n v="472.77702702702703"/>
    <n v="1200"/>
    <n v="567332.43243243243"/>
    <n v="1200"/>
    <n v="567332.43243243243"/>
    <n v="1200"/>
    <n v="567332.43243243243"/>
  </r>
  <r>
    <x v="8"/>
    <s v="KIVE ANDINA S.A.S"/>
    <s v="SEEDPACK"/>
    <x v="113"/>
    <x v="113"/>
    <n v="0"/>
    <n v="0"/>
    <n v="0"/>
    <n v="0"/>
    <n v="0"/>
    <n v="0"/>
    <n v="0"/>
    <n v="0"/>
    <n v="0"/>
    <n v="0"/>
    <n v="1063"/>
    <n v="437897"/>
    <n v="177"/>
    <n v="72983"/>
    <n v="412.33333333333331"/>
    <n v="2880"/>
    <n v="1187520"/>
    <n v="2880"/>
    <n v="1187520"/>
    <n v="2880"/>
    <n v="1187520"/>
  </r>
  <r>
    <x v="8"/>
    <s v="KIVE ANDINA S.A.S"/>
    <s v="SEEDPACK"/>
    <x v="123"/>
    <x v="123"/>
    <n v="0"/>
    <n v="0"/>
    <n v="0"/>
    <n v="0"/>
    <n v="0"/>
    <n v="0"/>
    <n v="0"/>
    <n v="0"/>
    <n v="0"/>
    <n v="0"/>
    <n v="738"/>
    <n v="403000"/>
    <n v="123"/>
    <n v="67167"/>
    <n v="546.07317073170736"/>
    <n v="1000"/>
    <n v="546073.17073170736"/>
    <n v="1000"/>
    <n v="546073.17073170736"/>
    <n v="1000"/>
    <n v="546073.17073170736"/>
  </r>
  <r>
    <x v="8"/>
    <s v="KIVE ANDINA S.A.S"/>
    <s v="SEEDPACK"/>
    <x v="287"/>
    <x v="286"/>
    <n v="3000"/>
    <n v="1875000"/>
    <n v="0"/>
    <n v="0"/>
    <n v="0"/>
    <n v="0"/>
    <n v="0"/>
    <n v="0"/>
    <n v="0"/>
    <n v="0"/>
    <n v="0"/>
    <n v="0"/>
    <n v="500"/>
    <n v="312500"/>
    <n v="625"/>
    <n v="3000"/>
    <n v="1875000"/>
    <n v="3000"/>
    <n v="1875000"/>
    <n v="3000"/>
    <n v="1875000"/>
  </r>
  <r>
    <x v="8"/>
    <s v="KIVE ANDINA S.A.S"/>
    <s v="SEEDPACK"/>
    <x v="98"/>
    <x v="98"/>
    <n v="1000"/>
    <n v="1176000"/>
    <n v="1500"/>
    <n v="1438500"/>
    <n v="0"/>
    <n v="0"/>
    <n v="0"/>
    <n v="0"/>
    <n v="300"/>
    <n v="352800"/>
    <n v="738"/>
    <n v="707833"/>
    <n v="590"/>
    <n v="612522"/>
    <n v="1038.1728813559323"/>
    <n v="2000"/>
    <n v="2076345.7627118647"/>
    <n v="2000"/>
    <n v="2076345.7627118647"/>
    <n v="2000"/>
    <n v="2076345.7627118647"/>
  </r>
  <r>
    <x v="8"/>
    <s v="KIVE ANDINA S.A.S"/>
    <s v="SEEDPACK"/>
    <x v="288"/>
    <x v="287"/>
    <n v="600"/>
    <n v="531000"/>
    <n v="1500"/>
    <n v="1327500"/>
    <n v="1500"/>
    <n v="1294500"/>
    <n v="800"/>
    <n v="690400"/>
    <n v="2600"/>
    <n v="2243800"/>
    <n v="590"/>
    <n v="509581"/>
    <n v="1265"/>
    <n v="1099463"/>
    <n v="869.14071146245055"/>
    <n v="2000"/>
    <n v="1738281.4229249011"/>
    <n v="2000"/>
    <n v="1738281.4229249011"/>
    <n v="2000"/>
    <n v="1738281.4229249011"/>
  </r>
  <r>
    <x v="8"/>
    <s v="KIVE ANDINA S.A.S"/>
    <s v="SEEDPACK"/>
    <x v="99"/>
    <x v="99"/>
    <n v="1000"/>
    <n v="1853000"/>
    <n v="1500"/>
    <n v="2779500"/>
    <n v="3000"/>
    <n v="5559000"/>
    <n v="1000"/>
    <n v="1853000"/>
    <n v="0"/>
    <n v="0"/>
    <n v="0"/>
    <n v="0"/>
    <n v="1083"/>
    <n v="2007417"/>
    <n v="1853.5706371191136"/>
    <n v="1408"/>
    <n v="2609827.4570637122"/>
    <n v="1408"/>
    <n v="2609827.4570637122"/>
    <n v="1408"/>
    <n v="2609827.4570637122"/>
  </r>
  <r>
    <x v="8"/>
    <s v="KIVE ANDINA S.A.S"/>
    <s v="SEEDPACK"/>
    <x v="100"/>
    <x v="100"/>
    <n v="0"/>
    <n v="0"/>
    <n v="0"/>
    <n v="0"/>
    <n v="0"/>
    <n v="0"/>
    <n v="0"/>
    <n v="0"/>
    <n v="0"/>
    <n v="0"/>
    <n v="148"/>
    <n v="152490"/>
    <n v="25"/>
    <n v="25415"/>
    <n v="1016.6"/>
    <n v="500"/>
    <n v="508300"/>
    <n v="500"/>
    <n v="508300"/>
    <n v="500"/>
    <n v="508300"/>
  </r>
  <r>
    <x v="8"/>
    <s v="KIVE ANDINA S.A.S"/>
    <s v="SEEDPACK"/>
    <x v="289"/>
    <x v="288"/>
    <n v="0"/>
    <n v="0"/>
    <n v="0"/>
    <n v="0"/>
    <n v="0"/>
    <n v="0"/>
    <n v="0"/>
    <n v="0"/>
    <n v="1320"/>
    <n v="242880"/>
    <n v="0"/>
    <n v="0"/>
    <n v="220"/>
    <n v="40480"/>
    <n v="184"/>
    <n v="3000"/>
    <n v="552000"/>
    <n v="3000"/>
    <n v="552000"/>
    <n v="3000"/>
    <n v="552000"/>
  </r>
  <r>
    <x v="8"/>
    <s v="KIVE ANDINA S.A.S"/>
    <s v="SEEDPACK"/>
    <x v="118"/>
    <x v="118"/>
    <n v="600"/>
    <n v="262200"/>
    <n v="6000"/>
    <n v="2622000"/>
    <n v="11400"/>
    <n v="4903500"/>
    <n v="5100"/>
    <n v="2228700"/>
    <n v="5700"/>
    <n v="2490900"/>
    <n v="0"/>
    <n v="0"/>
    <n v="4800"/>
    <n v="2084550"/>
    <n v="434.28125"/>
    <n v="9000"/>
    <n v="3908531.25"/>
    <n v="9000"/>
    <n v="3908531.25"/>
    <n v="9000"/>
    <n v="3908531.25"/>
  </r>
  <r>
    <x v="8"/>
    <s v="KIVE ANDINA S.A.S"/>
    <s v="SEEDPACK"/>
    <x v="119"/>
    <x v="119"/>
    <n v="0"/>
    <n v="0"/>
    <n v="0"/>
    <n v="0"/>
    <n v="0"/>
    <n v="0"/>
    <n v="0"/>
    <n v="0"/>
    <n v="4500"/>
    <n v="2741400"/>
    <n v="0"/>
    <n v="0"/>
    <n v="750"/>
    <n v="456900"/>
    <n v="609.20000000000005"/>
    <n v="1200"/>
    <n v="731040"/>
    <n v="1200"/>
    <n v="731040"/>
    <n v="1200"/>
    <n v="731040"/>
  </r>
  <r>
    <x v="8"/>
    <s v="KIVE ANDINA S.A.S"/>
    <s v="Salseros"/>
    <x v="108"/>
    <x v="108"/>
    <n v="0"/>
    <n v="0"/>
    <n v="5000"/>
    <n v="155000"/>
    <n v="50000"/>
    <n v="1655000"/>
    <n v="10000"/>
    <n v="340000"/>
    <n v="20000"/>
    <n v="635000"/>
    <n v="0"/>
    <n v="0"/>
    <n v="14167"/>
    <n v="464167"/>
    <n v="32.763958495094236"/>
    <n v="18417"/>
    <n v="603413.82360415056"/>
    <n v="18417"/>
    <n v="603413.82360415056"/>
    <n v="18417"/>
    <n v="603413.82360415056"/>
  </r>
  <r>
    <x v="8"/>
    <s v="KIVE ANDINA S.A.S"/>
    <s v="Salseros"/>
    <x v="110"/>
    <x v="110"/>
    <n v="10000"/>
    <n v="350000"/>
    <n v="15000"/>
    <n v="480000"/>
    <n v="10000"/>
    <n v="350000"/>
    <n v="10000"/>
    <n v="350000"/>
    <n v="0"/>
    <n v="0"/>
    <n v="0"/>
    <n v="0"/>
    <n v="7500"/>
    <n v="255000"/>
    <n v="34"/>
    <n v="9750"/>
    <n v="331500"/>
    <n v="9750"/>
    <n v="331500"/>
    <n v="9750"/>
    <n v="331500"/>
  </r>
  <r>
    <x v="8"/>
    <s v="KIVE ANDINA S.A.S"/>
    <s v="Salseros"/>
    <x v="132"/>
    <x v="132"/>
    <n v="5000"/>
    <n v="215000"/>
    <n v="0"/>
    <n v="0"/>
    <n v="5000"/>
    <n v="215000"/>
    <n v="0"/>
    <n v="0"/>
    <n v="0"/>
    <n v="0"/>
    <n v="7381"/>
    <n v="302619"/>
    <n v="2897"/>
    <n v="122103"/>
    <n v="42.148084225060408"/>
    <n v="3766"/>
    <n v="158729.6851915775"/>
    <n v="3766"/>
    <n v="158729.6851915775"/>
    <n v="3766"/>
    <n v="158729.6851915775"/>
  </r>
  <r>
    <x v="8"/>
    <s v="LEONOR  ACEVEDO DE PINILLA"/>
    <s v="SEEDPACK"/>
    <x v="94"/>
    <x v="94"/>
    <n v="0"/>
    <n v="0"/>
    <n v="10000"/>
    <n v="860000"/>
    <n v="10000"/>
    <n v="860000"/>
    <n v="30000"/>
    <n v="2580000"/>
    <n v="0"/>
    <n v="0"/>
    <n v="0"/>
    <n v="0"/>
    <n v="8333"/>
    <n v="716667"/>
    <n v="86.003480139205564"/>
    <n v="10833"/>
    <n v="931675.7003480139"/>
    <n v="10833"/>
    <n v="931675.7003480139"/>
    <n v="10833"/>
    <n v="931675.7003480139"/>
  </r>
  <r>
    <x v="8"/>
    <s v="LEONOR  ACEVEDO DE PINILLA"/>
    <s v="SEEDPACK"/>
    <x v="122"/>
    <x v="122"/>
    <n v="0"/>
    <n v="0"/>
    <n v="0"/>
    <n v="0"/>
    <n v="600"/>
    <n v="520800"/>
    <n v="0"/>
    <n v="0"/>
    <n v="0"/>
    <n v="0"/>
    <n v="0"/>
    <n v="0"/>
    <n v="100"/>
    <n v="86800"/>
    <n v="868"/>
    <n v="130"/>
    <n v="112840"/>
    <n v="130"/>
    <n v="112840"/>
    <n v="130"/>
    <n v="112840"/>
  </r>
  <r>
    <x v="8"/>
    <s v="LEONOR  ACEVEDO DE PINILLA"/>
    <s v="SEEDPACK"/>
    <x v="98"/>
    <x v="98"/>
    <n v="0"/>
    <n v="0"/>
    <n v="0"/>
    <n v="0"/>
    <n v="0"/>
    <n v="0"/>
    <n v="1500"/>
    <n v="1764000"/>
    <n v="0"/>
    <n v="0"/>
    <n v="0"/>
    <n v="0"/>
    <n v="250"/>
    <n v="294000"/>
    <n v="1176"/>
    <n v="325"/>
    <n v="382200"/>
    <n v="325"/>
    <n v="382200"/>
    <n v="325"/>
    <n v="382200"/>
  </r>
  <r>
    <x v="8"/>
    <s v="LEONOR  ACEVEDO DE PINILLA"/>
    <s v="SEEDPACK"/>
    <x v="99"/>
    <x v="99"/>
    <n v="0"/>
    <n v="0"/>
    <n v="1000"/>
    <n v="1853000"/>
    <n v="0"/>
    <n v="0"/>
    <n v="0"/>
    <n v="0"/>
    <n v="0"/>
    <n v="0"/>
    <n v="0"/>
    <n v="0"/>
    <n v="167"/>
    <n v="308833"/>
    <n v="1849.2994011976048"/>
    <n v="217"/>
    <n v="401297.97005988023"/>
    <n v="217"/>
    <n v="401297.97005988023"/>
    <n v="217"/>
    <n v="401297.97005988023"/>
  </r>
  <r>
    <x v="8"/>
    <s v="LEONOR  ACEVEDO DE PINILLA"/>
    <s v="SEEDPACK"/>
    <x v="131"/>
    <x v="131"/>
    <n v="0"/>
    <n v="0"/>
    <n v="500"/>
    <n v="752000"/>
    <n v="0"/>
    <n v="0"/>
    <n v="0"/>
    <n v="0"/>
    <n v="0"/>
    <n v="0"/>
    <n v="0"/>
    <n v="0"/>
    <n v="83"/>
    <n v="125333"/>
    <n v="1510.0361445783133"/>
    <n v="108"/>
    <n v="163083.90361445784"/>
    <n v="108"/>
    <n v="163083.90361445784"/>
    <n v="108"/>
    <n v="163083.90361445784"/>
  </r>
  <r>
    <x v="8"/>
    <s v="LEONOR  ACEVEDO DE PINILLA"/>
    <s v="SEEDPACK"/>
    <x v="118"/>
    <x v="118"/>
    <n v="0"/>
    <n v="0"/>
    <n v="1500"/>
    <n v="703500"/>
    <n v="1500"/>
    <n v="703500"/>
    <n v="6600"/>
    <n v="3095400"/>
    <n v="0"/>
    <n v="0"/>
    <n v="0"/>
    <n v="0"/>
    <n v="1600"/>
    <n v="750400"/>
    <n v="469"/>
    <n v="2080"/>
    <n v="975520"/>
    <n v="2080"/>
    <n v="975520"/>
    <n v="2080"/>
    <n v="975520"/>
  </r>
  <r>
    <x v="8"/>
    <s v="LEONOR  ACEVEDO DE PINILLA"/>
    <s v="SEEDPACK"/>
    <x v="119"/>
    <x v="119"/>
    <n v="0"/>
    <n v="0"/>
    <n v="0"/>
    <n v="0"/>
    <n v="0"/>
    <n v="0"/>
    <n v="180"/>
    <n v="114660"/>
    <n v="0"/>
    <n v="0"/>
    <n v="0"/>
    <n v="0"/>
    <n v="30"/>
    <n v="19110"/>
    <n v="637"/>
    <n v="39"/>
    <n v="24843"/>
    <n v="39"/>
    <n v="24843"/>
    <n v="39"/>
    <n v="24843"/>
  </r>
  <r>
    <x v="8"/>
    <s v="MARIA LOURDES GAMBOA GARCIA"/>
    <s v="SEEDPACK"/>
    <x v="99"/>
    <x v="99"/>
    <n v="400"/>
    <n v="590800"/>
    <n v="400"/>
    <n v="590800"/>
    <n v="0"/>
    <n v="0"/>
    <n v="400"/>
    <n v="590800"/>
    <n v="200"/>
    <n v="313200"/>
    <n v="0"/>
    <n v="0"/>
    <n v="234"/>
    <n v="347600"/>
    <n v="1485.4700854700855"/>
    <n v="304"/>
    <n v="451582.905982906"/>
    <n v="304"/>
    <n v="451582.905982906"/>
    <n v="304"/>
    <n v="451582.905982906"/>
  </r>
  <r>
    <x v="8"/>
    <s v="MARIA LOURDES GAMBOA GARCIA"/>
    <s v="SEEDPACK"/>
    <x v="131"/>
    <x v="131"/>
    <n v="350"/>
    <n v="453950"/>
    <n v="1350"/>
    <n v="1750950"/>
    <n v="0"/>
    <n v="0"/>
    <n v="1300"/>
    <n v="1686100"/>
    <n v="500"/>
    <n v="687500"/>
    <n v="590"/>
    <n v="811905"/>
    <n v="681"/>
    <n v="898400"/>
    <n v="1319.2364170337739"/>
    <n v="886"/>
    <n v="1168843.4654919237"/>
    <n v="886"/>
    <n v="1168843.4654919237"/>
    <n v="886"/>
    <n v="1168843.4654919237"/>
  </r>
  <r>
    <x v="8"/>
    <s v="MC FOODS SAS"/>
    <s v="SEEDPACK"/>
    <x v="123"/>
    <x v="123"/>
    <n v="3000"/>
    <n v="2355000"/>
    <n v="0"/>
    <n v="0"/>
    <n v="3000"/>
    <n v="2355000"/>
    <n v="0"/>
    <n v="0"/>
    <n v="0"/>
    <n v="0"/>
    <n v="0"/>
    <n v="0"/>
    <n v="1000"/>
    <n v="785000"/>
    <n v="785"/>
    <n v="1300"/>
    <n v="1020500"/>
    <n v="1300"/>
    <n v="1020500"/>
    <n v="1300"/>
    <n v="1020500"/>
  </r>
  <r>
    <x v="8"/>
    <s v="MULTIVASOS SAS"/>
    <s v="SEEDPACK"/>
    <x v="94"/>
    <x v="94"/>
    <n v="0"/>
    <n v="0"/>
    <n v="16000"/>
    <n v="1296000"/>
    <n v="0"/>
    <n v="0"/>
    <n v="0"/>
    <n v="0"/>
    <n v="0"/>
    <n v="0"/>
    <n v="0"/>
    <n v="0"/>
    <n v="2667"/>
    <n v="216000"/>
    <n v="80.989876265466819"/>
    <n v="3467"/>
    <n v="280791.90101237345"/>
    <n v="3467"/>
    <n v="280791.90101237345"/>
    <n v="3467"/>
    <n v="280791.90101237345"/>
  </r>
  <r>
    <x v="8"/>
    <s v="MULTIVASOS SAS"/>
    <s v="SEEDPACK"/>
    <x v="290"/>
    <x v="289"/>
    <n v="0"/>
    <n v="0"/>
    <n v="0"/>
    <n v="0"/>
    <n v="0"/>
    <n v="0"/>
    <n v="0"/>
    <n v="0"/>
    <n v="8000"/>
    <n v="17360000"/>
    <n v="0"/>
    <n v="0"/>
    <n v="1333"/>
    <n v="2893333"/>
    <n v="2170.5423855963991"/>
    <n v="1733"/>
    <n v="3761549.9542385596"/>
    <n v="1733"/>
    <n v="3761549.9542385596"/>
    <n v="1733"/>
    <n v="3761549.9542385596"/>
  </r>
  <r>
    <x v="8"/>
    <s v="MULTIVASOS SAS"/>
    <s v="Salseros"/>
    <x v="110"/>
    <x v="110"/>
    <n v="0"/>
    <n v="0"/>
    <n v="10000"/>
    <n v="340000"/>
    <n v="0"/>
    <n v="0"/>
    <n v="0"/>
    <n v="0"/>
    <n v="0"/>
    <n v="0"/>
    <n v="0"/>
    <n v="0"/>
    <n v="1667"/>
    <n v="56667"/>
    <n v="33.993401319736051"/>
    <n v="2167"/>
    <n v="73663.700659868016"/>
    <n v="2167"/>
    <n v="73663.700659868016"/>
    <n v="2167"/>
    <n v="73663.700659868016"/>
  </r>
  <r>
    <x v="8"/>
    <s v="MXM HOSPITALITY SAS"/>
    <s v="SEEDPACK"/>
    <x v="291"/>
    <x v="290"/>
    <n v="0"/>
    <n v="0"/>
    <n v="0"/>
    <n v="0"/>
    <n v="0"/>
    <n v="0"/>
    <n v="1000"/>
    <n v="2683000"/>
    <n v="0"/>
    <n v="0"/>
    <n v="0"/>
    <n v="0"/>
    <n v="167"/>
    <n v="447167"/>
    <n v="2677.6467065868264"/>
    <n v="217"/>
    <n v="581049.33532934135"/>
    <n v="217"/>
    <n v="581049.33532934135"/>
    <n v="217"/>
    <n v="581049.33532934135"/>
  </r>
  <r>
    <x v="8"/>
    <s v="PAPAS BELGAS LAURELES SAS"/>
    <s v="Salseros"/>
    <x v="108"/>
    <x v="108"/>
    <n v="0"/>
    <n v="0"/>
    <n v="0"/>
    <n v="0"/>
    <n v="0"/>
    <n v="0"/>
    <n v="0"/>
    <n v="0"/>
    <n v="0"/>
    <n v="0"/>
    <n v="7381"/>
    <n v="302619"/>
    <n v="1230"/>
    <n v="50437"/>
    <n v="41.005691056910571"/>
    <n v="1599"/>
    <n v="65568.100000000006"/>
    <n v="1599"/>
    <n v="65568.100000000006"/>
    <n v="1599"/>
    <n v="65568.100000000006"/>
  </r>
  <r>
    <x v="8"/>
    <s v="POLLO SALVAJE  APANADO SAS"/>
    <s v="SEEDPACK"/>
    <x v="113"/>
    <x v="113"/>
    <n v="1440"/>
    <n v="797760"/>
    <n v="0"/>
    <n v="0"/>
    <n v="0"/>
    <n v="0"/>
    <n v="0"/>
    <n v="0"/>
    <n v="720"/>
    <n v="422640"/>
    <n v="0"/>
    <n v="0"/>
    <n v="360"/>
    <n v="203400"/>
    <n v="565"/>
    <n v="468"/>
    <n v="264420"/>
    <n v="468"/>
    <n v="264420"/>
    <n v="468"/>
    <n v="264420"/>
  </r>
  <r>
    <x v="8"/>
    <s v="POLLO SALVAJE  APANADO SAS"/>
    <s v="SEEDPACK"/>
    <x v="123"/>
    <x v="123"/>
    <n v="4000"/>
    <n v="2932000"/>
    <n v="0"/>
    <n v="0"/>
    <n v="0"/>
    <n v="0"/>
    <n v="0"/>
    <n v="0"/>
    <n v="1000"/>
    <n v="770000"/>
    <n v="0"/>
    <n v="0"/>
    <n v="833"/>
    <n v="617000"/>
    <n v="740.69627851140456"/>
    <n v="1083"/>
    <n v="802174.06962785113"/>
    <n v="1083"/>
    <n v="802174.06962785113"/>
    <n v="1083"/>
    <n v="802174.06962785113"/>
  </r>
  <r>
    <x v="8"/>
    <s v="POLLO SALVAJE  APANADO SAS"/>
    <s v="SEEDPACK"/>
    <x v="292"/>
    <x v="291"/>
    <n v="0"/>
    <n v="0"/>
    <n v="0"/>
    <n v="0"/>
    <n v="0"/>
    <n v="0"/>
    <n v="0"/>
    <n v="0"/>
    <n v="3900"/>
    <n v="3985800"/>
    <n v="0"/>
    <n v="0"/>
    <n v="650"/>
    <n v="664300"/>
    <n v="1022"/>
    <n v="845"/>
    <n v="863590"/>
    <n v="845"/>
    <n v="863590"/>
    <n v="845"/>
    <n v="863590"/>
  </r>
  <r>
    <x v="8"/>
    <s v="PRINCIPE CONEJO SAS"/>
    <s v="SEEDPACK"/>
    <x v="293"/>
    <x v="292"/>
    <n v="0"/>
    <n v="0"/>
    <n v="0"/>
    <n v="0"/>
    <n v="2000"/>
    <n v="3000000"/>
    <n v="0"/>
    <n v="0"/>
    <n v="0"/>
    <n v="0"/>
    <n v="0"/>
    <n v="0"/>
    <n v="333"/>
    <n v="500000"/>
    <n v="1501.5015015015015"/>
    <n v="433"/>
    <n v="650150.15015015018"/>
    <n v="433"/>
    <n v="650150.15015015018"/>
    <n v="433"/>
    <n v="650150.15015015018"/>
  </r>
  <r>
    <x v="8"/>
    <s v="PRODUCTORA Y COMERCIALIZADORA LOS CARTUJOS SAS"/>
    <s v="SEEDPACK"/>
    <x v="122"/>
    <x v="122"/>
    <n v="300"/>
    <n v="221100"/>
    <n v="150"/>
    <n v="110550"/>
    <n v="600"/>
    <n v="442200"/>
    <n v="1050"/>
    <n v="773850"/>
    <n v="0"/>
    <n v="0"/>
    <n v="0"/>
    <n v="0"/>
    <n v="350"/>
    <n v="257950"/>
    <n v="737"/>
    <n v="455"/>
    <n v="335335"/>
    <n v="455"/>
    <n v="335335"/>
    <n v="455"/>
    <n v="335335"/>
  </r>
  <r>
    <x v="8"/>
    <s v="PRODUCTORA Y COMERCIALIZADORA LOS CARTUJOS SAS"/>
    <s v="SEEDPACK"/>
    <x v="98"/>
    <x v="98"/>
    <n v="600"/>
    <n v="604200"/>
    <n v="600"/>
    <n v="604200"/>
    <n v="600"/>
    <n v="604200"/>
    <n v="1000"/>
    <n v="1007000"/>
    <n v="0"/>
    <n v="0"/>
    <n v="886"/>
    <n v="891914"/>
    <n v="614"/>
    <n v="618586"/>
    <n v="1007.4690553745928"/>
    <n v="799"/>
    <n v="804967.77524429967"/>
    <n v="799"/>
    <n v="804967.77524429967"/>
    <n v="799"/>
    <n v="804967.77524429967"/>
  </r>
  <r>
    <x v="8"/>
    <s v="PRODUCTORA Y COMERCIALIZADORA LOS CARTUJOS SAS"/>
    <s v="Salseros"/>
    <x v="110"/>
    <x v="110"/>
    <n v="0"/>
    <n v="0"/>
    <n v="0"/>
    <n v="0"/>
    <n v="0"/>
    <n v="0"/>
    <n v="5000"/>
    <n v="170000"/>
    <n v="0"/>
    <n v="0"/>
    <n v="0"/>
    <n v="0"/>
    <n v="833"/>
    <n v="28333"/>
    <n v="34.013205282112843"/>
    <n v="1083"/>
    <n v="36836.301320528211"/>
    <n v="1083"/>
    <n v="36836.301320528211"/>
    <n v="1083"/>
    <n v="36836.301320528211"/>
  </r>
  <r>
    <x v="8"/>
    <s v="REPOSTERIAS TDG SAS"/>
    <s v="HORNEADO"/>
    <x v="294"/>
    <x v="293"/>
    <n v="0"/>
    <n v="0"/>
    <n v="0"/>
    <n v="0"/>
    <n v="0"/>
    <n v="0"/>
    <n v="200000"/>
    <n v="35200000"/>
    <n v="0"/>
    <n v="0"/>
    <n v="0"/>
    <n v="0"/>
    <n v="33333"/>
    <n v="5866667"/>
    <n v="176.00177001770018"/>
    <n v="43333"/>
    <n v="7626684.7001770018"/>
    <n v="43333"/>
    <n v="7626684.7001770018"/>
    <n v="43333"/>
    <n v="7626684.7001770018"/>
  </r>
  <r>
    <x v="8"/>
    <s v="RESTAURANTE LA FOGATA SAS"/>
    <s v="SEEDPACK"/>
    <x v="122"/>
    <x v="122"/>
    <n v="0"/>
    <n v="0"/>
    <n v="0"/>
    <n v="0"/>
    <n v="0"/>
    <n v="0"/>
    <n v="0"/>
    <n v="0"/>
    <n v="300"/>
    <n v="234000"/>
    <n v="0"/>
    <n v="0"/>
    <n v="50"/>
    <n v="39000"/>
    <n v="780"/>
    <n v="65"/>
    <n v="50700"/>
    <n v="65"/>
    <n v="50700"/>
    <n v="65"/>
    <n v="50700"/>
  </r>
  <r>
    <x v="8"/>
    <s v="RESTAURANTE LA FOGATA SAS"/>
    <s v="SEEDPACK"/>
    <x v="98"/>
    <x v="98"/>
    <n v="0"/>
    <n v="0"/>
    <n v="0"/>
    <n v="0"/>
    <n v="0"/>
    <n v="0"/>
    <n v="0"/>
    <n v="0"/>
    <n v="200"/>
    <n v="173200"/>
    <n v="0"/>
    <n v="0"/>
    <n v="33"/>
    <n v="28867"/>
    <n v="874.75757575757575"/>
    <n v="43"/>
    <n v="37614.57575757576"/>
    <n v="43"/>
    <n v="37614.57575757576"/>
    <n v="43"/>
    <n v="37614.57575757576"/>
  </r>
  <r>
    <x v="8"/>
    <s v="SANCHO PAISA  SAS"/>
    <s v="SEEDPACK"/>
    <x v="295"/>
    <x v="294"/>
    <n v="630"/>
    <n v="414540"/>
    <n v="0"/>
    <n v="0"/>
    <n v="0"/>
    <n v="0"/>
    <n v="957"/>
    <n v="629706"/>
    <n v="0"/>
    <n v="0"/>
    <n v="0"/>
    <n v="0"/>
    <n v="264"/>
    <n v="174041"/>
    <n v="659.24621212121212"/>
    <n v="344"/>
    <n v="226780.69696969696"/>
    <n v="344"/>
    <n v="226780.69696969696"/>
    <n v="344"/>
    <n v="226780.69696969696"/>
  </r>
  <r>
    <x v="8"/>
    <s v="SANCHO PAISA  SAS"/>
    <s v="SEEDPACK"/>
    <x v="127"/>
    <x v="127"/>
    <n v="0"/>
    <n v="0"/>
    <n v="1890"/>
    <n v="669060"/>
    <n v="0"/>
    <n v="0"/>
    <n v="1260"/>
    <n v="446040"/>
    <n v="0"/>
    <n v="0"/>
    <n v="1860"/>
    <n v="658440"/>
    <n v="835"/>
    <n v="295590"/>
    <n v="354"/>
    <n v="1086"/>
    <n v="384444"/>
    <n v="1086"/>
    <n v="384444"/>
    <n v="1086"/>
    <n v="384444"/>
  </r>
  <r>
    <x v="8"/>
    <s v="SANCHO PAISA  SAS"/>
    <s v="SEEDPACK"/>
    <x v="296"/>
    <x v="295"/>
    <n v="930"/>
    <n v="916980"/>
    <n v="0"/>
    <n v="0"/>
    <n v="0"/>
    <n v="0"/>
    <n v="325"/>
    <n v="320450"/>
    <n v="0"/>
    <n v="0"/>
    <n v="0"/>
    <n v="0"/>
    <n v="209"/>
    <n v="206238"/>
    <n v="986.78468899521533"/>
    <n v="272"/>
    <n v="268405.43540669855"/>
    <n v="272"/>
    <n v="268405.43540669855"/>
    <n v="272"/>
    <n v="268405.43540669855"/>
  </r>
  <r>
    <x v="8"/>
    <s v="SANCHO PAISA  SAS"/>
    <s v="SEEDPACK"/>
    <x v="297"/>
    <x v="296"/>
    <n v="0"/>
    <n v="0"/>
    <n v="400"/>
    <n v="152800"/>
    <n v="0"/>
    <n v="0"/>
    <n v="0"/>
    <n v="0"/>
    <n v="0"/>
    <n v="0"/>
    <n v="0"/>
    <n v="0"/>
    <n v="67"/>
    <n v="25467"/>
    <n v="380.1044776119403"/>
    <n v="87"/>
    <n v="33069.089552238809"/>
    <n v="87"/>
    <n v="33069.089552238809"/>
    <n v="87"/>
    <n v="33069.089552238809"/>
  </r>
  <r>
    <x v="8"/>
    <s v="SANCHO PAISA  SAS"/>
    <s v="SEEDPACK"/>
    <x v="222"/>
    <x v="221"/>
    <n v="0"/>
    <n v="0"/>
    <n v="200"/>
    <n v="33000"/>
    <n v="0"/>
    <n v="0"/>
    <n v="2400"/>
    <n v="396000"/>
    <n v="0"/>
    <n v="0"/>
    <n v="0"/>
    <n v="0"/>
    <n v="433"/>
    <n v="71500"/>
    <n v="165.1270207852194"/>
    <n v="563"/>
    <n v="92966.512702078529"/>
    <n v="563"/>
    <n v="92966.512702078529"/>
    <n v="563"/>
    <n v="92966.512702078529"/>
  </r>
  <r>
    <x v="8"/>
    <s v="SANCHO PAISA  SAS"/>
    <s v="SEEDPACK"/>
    <x v="154"/>
    <x v="154"/>
    <n v="0"/>
    <n v="0"/>
    <n v="0"/>
    <n v="0"/>
    <n v="0"/>
    <n v="0"/>
    <n v="0"/>
    <n v="0"/>
    <n v="0"/>
    <n v="0"/>
    <n v="886"/>
    <n v="338343"/>
    <n v="148"/>
    <n v="56390"/>
    <n v="381.01351351351349"/>
    <n v="192"/>
    <n v="73154.594594594586"/>
    <n v="192"/>
    <n v="73154.594594594586"/>
    <n v="192"/>
    <n v="73154.594594594586"/>
  </r>
  <r>
    <x v="8"/>
    <s v="SANCHO PAISA  SAS"/>
    <s v="SEEDPACK"/>
    <x v="298"/>
    <x v="297"/>
    <n v="1000"/>
    <n v="1194000"/>
    <n v="0"/>
    <n v="0"/>
    <n v="0"/>
    <n v="0"/>
    <n v="200"/>
    <n v="238800"/>
    <n v="2000"/>
    <n v="2388000"/>
    <n v="0"/>
    <n v="0"/>
    <n v="533"/>
    <n v="636800"/>
    <n v="1194.7467166979361"/>
    <n v="693"/>
    <n v="827959.47467166977"/>
    <n v="693"/>
    <n v="827959.47467166977"/>
    <n v="693"/>
    <n v="827959.47467166977"/>
  </r>
  <r>
    <x v="8"/>
    <s v="SANCHO PAISA  SAS"/>
    <s v="SEEDPACK"/>
    <x v="299"/>
    <x v="298"/>
    <n v="1000"/>
    <n v="1279000"/>
    <n v="0"/>
    <n v="0"/>
    <n v="0"/>
    <n v="0"/>
    <n v="300"/>
    <n v="383700"/>
    <n v="0"/>
    <n v="0"/>
    <n v="0"/>
    <n v="0"/>
    <n v="217"/>
    <n v="277117"/>
    <n v="1277.036866359447"/>
    <n v="282"/>
    <n v="360124.39631336404"/>
    <n v="282"/>
    <n v="360124.39631336404"/>
    <n v="282"/>
    <n v="360124.39631336404"/>
  </r>
  <r>
    <x v="8"/>
    <s v="SANCHO PAISA  SAS"/>
    <s v="SEEDPACK"/>
    <x v="300"/>
    <x v="299"/>
    <n v="1000"/>
    <n v="2306000"/>
    <n v="0"/>
    <n v="0"/>
    <n v="0"/>
    <n v="0"/>
    <n v="157"/>
    <n v="362042"/>
    <n v="0"/>
    <n v="0"/>
    <n v="0"/>
    <n v="0"/>
    <n v="193"/>
    <n v="444674"/>
    <n v="2304.0103626943005"/>
    <n v="251"/>
    <n v="578306.60103626945"/>
    <n v="251"/>
    <n v="578306.60103626945"/>
    <n v="251"/>
    <n v="578306.60103626945"/>
  </r>
  <r>
    <x v="8"/>
    <s v="SAYONARA SAS"/>
    <s v="SEEDPACK"/>
    <x v="301"/>
    <x v="300"/>
    <n v="6000"/>
    <n v="3240000"/>
    <n v="15600"/>
    <n v="8424000"/>
    <n v="0"/>
    <n v="0"/>
    <n v="0"/>
    <n v="0"/>
    <n v="0"/>
    <n v="0"/>
    <n v="0"/>
    <n v="0"/>
    <n v="3600"/>
    <n v="1944000"/>
    <n v="540"/>
    <n v="4680"/>
    <n v="2527200"/>
    <n v="4680"/>
    <n v="2527200"/>
    <n v="4680"/>
    <n v="2527200"/>
  </r>
  <r>
    <x v="8"/>
    <s v="SAYONARA SAS"/>
    <s v="SEEDPACK"/>
    <x v="135"/>
    <x v="135"/>
    <n v="1440"/>
    <n v="665280"/>
    <n v="2880"/>
    <n v="1330560"/>
    <n v="0"/>
    <n v="0"/>
    <n v="0"/>
    <n v="0"/>
    <n v="0"/>
    <n v="0"/>
    <n v="0"/>
    <n v="0"/>
    <n v="720"/>
    <n v="332640"/>
    <n v="462"/>
    <n v="936"/>
    <n v="432432"/>
    <n v="936"/>
    <n v="432432"/>
    <n v="936"/>
    <n v="432432"/>
  </r>
  <r>
    <x v="8"/>
    <s v="SAYONARA SAS"/>
    <s v="SEEDPACK"/>
    <x v="166"/>
    <x v="166"/>
    <n v="0"/>
    <n v="0"/>
    <n v="0"/>
    <n v="0"/>
    <n v="0"/>
    <n v="0"/>
    <n v="12000"/>
    <n v="6480000"/>
    <n v="0"/>
    <n v="0"/>
    <n v="8857"/>
    <n v="5030857"/>
    <n v="3476"/>
    <n v="1918476"/>
    <n v="551.92059838895284"/>
    <n v="4519"/>
    <n v="2494129.1841196781"/>
    <n v="4519"/>
    <n v="2494129.1841196781"/>
    <n v="4519"/>
    <n v="2494129.1841196781"/>
  </r>
  <r>
    <x v="8"/>
    <s v="SAYONARA SAS"/>
    <s v="SEEDPACK"/>
    <x v="113"/>
    <x v="113"/>
    <n v="0"/>
    <n v="0"/>
    <n v="0"/>
    <n v="0"/>
    <n v="0"/>
    <n v="0"/>
    <n v="5040"/>
    <n v="2328480"/>
    <n v="0"/>
    <n v="0"/>
    <n v="0"/>
    <n v="0"/>
    <n v="840"/>
    <n v="388080"/>
    <n v="462"/>
    <n v="1092"/>
    <n v="504504"/>
    <n v="1092"/>
    <n v="504504"/>
    <n v="1092"/>
    <n v="504504"/>
  </r>
  <r>
    <x v="8"/>
    <s v="SEBASTIEN PAUL ANN JACQUES DE DIXMUDE"/>
    <s v="SEEDPACK"/>
    <x v="302"/>
    <x v="301"/>
    <n v="0"/>
    <n v="0"/>
    <n v="1200"/>
    <n v="2080600"/>
    <n v="0"/>
    <n v="0"/>
    <n v="0"/>
    <n v="0"/>
    <n v="0"/>
    <n v="0"/>
    <n v="0"/>
    <n v="0"/>
    <n v="200"/>
    <n v="346767"/>
    <n v="1733.835"/>
    <n v="260"/>
    <n v="450797.10000000003"/>
    <n v="260"/>
    <n v="450797.10000000003"/>
    <n v="260"/>
    <n v="450797.10000000003"/>
  </r>
  <r>
    <x v="8"/>
    <s v="SEBASTIEN PAUL ANN JACQUES DE DIXMUDE"/>
    <s v="SEEDPACK"/>
    <x v="303"/>
    <x v="302"/>
    <n v="0"/>
    <n v="0"/>
    <n v="800"/>
    <n v="1786400"/>
    <n v="0"/>
    <n v="0"/>
    <n v="0"/>
    <n v="0"/>
    <n v="0"/>
    <n v="0"/>
    <n v="0"/>
    <n v="0"/>
    <n v="133"/>
    <n v="297733"/>
    <n v="2238.593984962406"/>
    <n v="173"/>
    <n v="387276.75939849624"/>
    <n v="173"/>
    <n v="387276.75939849624"/>
    <n v="173"/>
    <n v="387276.75939849624"/>
  </r>
  <r>
    <x v="8"/>
    <s v="SEBASTIEN PAUL ANN JACQUES DE DIXMUDE"/>
    <s v="SEEDPACK"/>
    <x v="304"/>
    <x v="303"/>
    <n v="200"/>
    <n v="171000"/>
    <n v="1000"/>
    <n v="855000"/>
    <n v="0"/>
    <n v="0"/>
    <n v="0"/>
    <n v="0"/>
    <n v="0"/>
    <n v="0"/>
    <n v="0"/>
    <n v="0"/>
    <n v="200"/>
    <n v="171000"/>
    <n v="855"/>
    <n v="260"/>
    <n v="222300"/>
    <n v="260"/>
    <n v="222300"/>
    <n v="260"/>
    <n v="222300"/>
  </r>
  <r>
    <x v="8"/>
    <s v="SERVI AQUII SAS"/>
    <s v="SEEDPACK"/>
    <x v="94"/>
    <x v="94"/>
    <n v="10000"/>
    <n v="860000"/>
    <n v="0"/>
    <n v="0"/>
    <n v="0"/>
    <n v="0"/>
    <n v="10000"/>
    <n v="860000"/>
    <n v="0"/>
    <n v="0"/>
    <n v="0"/>
    <n v="0"/>
    <n v="3333"/>
    <n v="286667"/>
    <n v="86.008700870087011"/>
    <n v="4333"/>
    <n v="372675.70087008702"/>
    <n v="4333"/>
    <n v="372675.70087008702"/>
    <n v="4333"/>
    <n v="372675.70087008702"/>
  </r>
  <r>
    <x v="8"/>
    <s v="SERVI AQUII SAS"/>
    <s v="SEEDPACK"/>
    <x v="118"/>
    <x v="118"/>
    <n v="1500"/>
    <n v="703500"/>
    <n v="0"/>
    <n v="0"/>
    <n v="0"/>
    <n v="0"/>
    <n v="1500"/>
    <n v="703500"/>
    <n v="0"/>
    <n v="0"/>
    <n v="0"/>
    <n v="0"/>
    <n v="500"/>
    <n v="234500"/>
    <n v="469"/>
    <n v="650"/>
    <n v="304850"/>
    <n v="650"/>
    <n v="304850"/>
    <n v="650"/>
    <n v="304850"/>
  </r>
  <r>
    <x v="8"/>
    <s v="TERMINADOS GRAFICOS DEL SUR SAS"/>
    <s v="SEEDPACK"/>
    <x v="95"/>
    <x v="95"/>
    <n v="0"/>
    <n v="0"/>
    <n v="0"/>
    <n v="0"/>
    <n v="0"/>
    <n v="0"/>
    <n v="0"/>
    <n v="0"/>
    <n v="300"/>
    <n v="334800"/>
    <n v="0"/>
    <n v="0"/>
    <n v="50"/>
    <n v="55800"/>
    <n v="1116"/>
    <n v="65"/>
    <n v="72540"/>
    <n v="65"/>
    <n v="72540"/>
    <n v="65"/>
    <n v="72540"/>
  </r>
  <r>
    <x v="8"/>
    <s v="TERMINADOS GRAFICOS DEL SUR SAS"/>
    <s v="SEEDPACK"/>
    <x v="97"/>
    <x v="97"/>
    <n v="300"/>
    <n v="588900"/>
    <n v="500"/>
    <n v="981500"/>
    <n v="0"/>
    <n v="0"/>
    <n v="0"/>
    <n v="0"/>
    <n v="0"/>
    <n v="0"/>
    <n v="0"/>
    <n v="0"/>
    <n v="133"/>
    <n v="261733"/>
    <n v="1967.9172932330828"/>
    <n v="173"/>
    <n v="340449.6917293233"/>
    <n v="173"/>
    <n v="340449.6917293233"/>
    <n v="173"/>
    <n v="340449.6917293233"/>
  </r>
  <r>
    <x v="8"/>
    <s v="TERMINADOS GRAFICOS DEL SUR SAS"/>
    <s v="SEEDPACK"/>
    <x v="305"/>
    <x v="304"/>
    <n v="300"/>
    <n v="509400"/>
    <n v="0"/>
    <n v="0"/>
    <n v="0"/>
    <n v="0"/>
    <n v="0"/>
    <n v="0"/>
    <n v="0"/>
    <n v="0"/>
    <n v="0"/>
    <n v="0"/>
    <n v="50"/>
    <n v="84900"/>
    <n v="1698"/>
    <n v="65"/>
    <n v="110370"/>
    <n v="65"/>
    <n v="110370"/>
    <n v="65"/>
    <n v="110370"/>
  </r>
  <r>
    <x v="8"/>
    <s v="TERMINADOS GRAFICOS DEL SUR SAS"/>
    <s v="SEEDPACK"/>
    <x v="306"/>
    <x v="305"/>
    <n v="1000"/>
    <n v="1649000"/>
    <n v="0"/>
    <n v="0"/>
    <n v="0"/>
    <n v="0"/>
    <n v="300"/>
    <n v="494700"/>
    <n v="400"/>
    <n v="659600"/>
    <n v="590"/>
    <n v="973695"/>
    <n v="382"/>
    <n v="629499"/>
    <n v="1647.9031413612565"/>
    <n v="497"/>
    <n v="819007.86125654448"/>
    <n v="497"/>
    <n v="819007.86125654448"/>
    <n v="497"/>
    <n v="819007.86125654448"/>
  </r>
  <r>
    <x v="8"/>
    <s v="TERMINADOS GRAFICOS DEL SUR SAS"/>
    <s v="SEEDPACK"/>
    <x v="169"/>
    <x v="169"/>
    <n v="0"/>
    <n v="0"/>
    <n v="0"/>
    <n v="0"/>
    <n v="550"/>
    <n v="1804550"/>
    <n v="0"/>
    <n v="0"/>
    <n v="0"/>
    <n v="0"/>
    <n v="0"/>
    <n v="0"/>
    <n v="92"/>
    <n v="300758"/>
    <n v="3269.108695652174"/>
    <n v="119"/>
    <n v="389023.9347826087"/>
    <n v="119"/>
    <n v="389023.9347826087"/>
    <n v="119"/>
    <n v="389023.9347826087"/>
  </r>
  <r>
    <x v="8"/>
    <s v="TERMINADOS GRAFICOS DEL SUR SAS"/>
    <s v="SEEDPACK"/>
    <x v="145"/>
    <x v="145"/>
    <n v="300"/>
    <n v="816600"/>
    <n v="0"/>
    <n v="0"/>
    <n v="0"/>
    <n v="0"/>
    <n v="0"/>
    <n v="0"/>
    <n v="0"/>
    <n v="0"/>
    <n v="0"/>
    <n v="0"/>
    <n v="50"/>
    <n v="136100"/>
    <n v="2722"/>
    <n v="65"/>
    <n v="176930"/>
    <n v="65"/>
    <n v="176930"/>
    <n v="65"/>
    <n v="176930"/>
  </r>
  <r>
    <x v="8"/>
    <s v="TERMINADOS GRAFICOS DEL SUR SAS"/>
    <s v="SEEDPACK"/>
    <x v="146"/>
    <x v="146"/>
    <n v="300"/>
    <n v="714600"/>
    <n v="0"/>
    <n v="0"/>
    <n v="0"/>
    <n v="0"/>
    <n v="0"/>
    <n v="0"/>
    <n v="0"/>
    <n v="0"/>
    <n v="443"/>
    <n v="1054886"/>
    <n v="124"/>
    <n v="294914"/>
    <n v="2378.3387096774195"/>
    <n v="161"/>
    <n v="382912.53225806454"/>
    <n v="161"/>
    <n v="382912.53225806454"/>
    <n v="161"/>
    <n v="382912.53225806454"/>
  </r>
  <r>
    <x v="8"/>
    <s v="TERMINADOS GRAFICOS DEL SUR SAS"/>
    <s v="SEEDPACK"/>
    <x v="270"/>
    <x v="269"/>
    <n v="0"/>
    <n v="0"/>
    <n v="0"/>
    <n v="0"/>
    <n v="160"/>
    <n v="157760"/>
    <n v="0"/>
    <n v="0"/>
    <n v="800"/>
    <n v="788800"/>
    <n v="0"/>
    <n v="0"/>
    <n v="160"/>
    <n v="157760"/>
    <n v="986"/>
    <n v="208"/>
    <n v="205088"/>
    <n v="208"/>
    <n v="205088"/>
    <n v="208"/>
    <n v="205088"/>
  </r>
  <r>
    <x v="8"/>
    <s v="TERMINADOS GRAFICOS DEL SUR SAS"/>
    <s v="SEEDPACK"/>
    <x v="307"/>
    <x v="306"/>
    <n v="1000"/>
    <n v="2828000"/>
    <n v="0"/>
    <n v="0"/>
    <n v="0"/>
    <n v="0"/>
    <n v="150"/>
    <n v="424200"/>
    <n v="400"/>
    <n v="1131200"/>
    <n v="0"/>
    <n v="0"/>
    <n v="259"/>
    <n v="730566"/>
    <n v="2820.7181467181467"/>
    <n v="336"/>
    <n v="947761.29729729728"/>
    <n v="336"/>
    <n v="947761.29729729728"/>
    <n v="336"/>
    <n v="947761.29729729728"/>
  </r>
  <r>
    <x v="8"/>
    <s v="TERMINADOS GRAFICOS DEL SUR SAS"/>
    <s v="SEEDPACK"/>
    <x v="98"/>
    <x v="98"/>
    <n v="600"/>
    <n v="575400"/>
    <n v="500"/>
    <n v="479500"/>
    <n v="0"/>
    <n v="0"/>
    <n v="0"/>
    <n v="0"/>
    <n v="300"/>
    <n v="287700"/>
    <n v="0"/>
    <n v="0"/>
    <n v="233"/>
    <n v="223767"/>
    <n v="960.37339055793996"/>
    <n v="303"/>
    <n v="290993.13733905583"/>
    <n v="303"/>
    <n v="290993.13733905583"/>
    <n v="303"/>
    <n v="290993.13733905583"/>
  </r>
  <r>
    <x v="8"/>
    <s v="TERMINADOS GRAFICOS DEL SUR SAS"/>
    <s v="SEEDPACK"/>
    <x v="99"/>
    <x v="99"/>
    <n v="600"/>
    <n v="970200"/>
    <n v="400"/>
    <n v="646800"/>
    <n v="0"/>
    <n v="0"/>
    <n v="400"/>
    <n v="646800"/>
    <n v="300"/>
    <n v="485100"/>
    <n v="443"/>
    <n v="716100"/>
    <n v="357"/>
    <n v="577500"/>
    <n v="1617.6470588235295"/>
    <n v="464"/>
    <n v="750588.23529411771"/>
    <n v="464"/>
    <n v="750588.23529411771"/>
    <n v="464"/>
    <n v="750588.23529411771"/>
  </r>
  <r>
    <x v="8"/>
    <s v="TERMINADOS GRAFICOS DEL SUR SAS"/>
    <s v="SEEDPACK"/>
    <x v="148"/>
    <x v="148"/>
    <n v="400"/>
    <n v="930800"/>
    <n v="0"/>
    <n v="0"/>
    <n v="0"/>
    <n v="0"/>
    <n v="0"/>
    <n v="0"/>
    <n v="150"/>
    <n v="349050"/>
    <n v="0"/>
    <n v="0"/>
    <n v="92"/>
    <n v="213308"/>
    <n v="2318.5652173913045"/>
    <n v="119"/>
    <n v="275909.26086956525"/>
    <n v="119"/>
    <n v="275909.26086956525"/>
    <n v="119"/>
    <n v="275909.26086956525"/>
  </r>
  <r>
    <x v="8"/>
    <s v="TERMINADOS GRAFICOS DEL SUR SAS"/>
    <s v="SEEDPACK"/>
    <x v="118"/>
    <x v="118"/>
    <n v="0"/>
    <n v="0"/>
    <n v="0"/>
    <n v="0"/>
    <n v="300"/>
    <n v="112500"/>
    <n v="0"/>
    <n v="0"/>
    <n v="0"/>
    <n v="0"/>
    <n v="0"/>
    <n v="0"/>
    <n v="50"/>
    <n v="18750"/>
    <n v="375"/>
    <n v="65"/>
    <n v="24375"/>
    <n v="65"/>
    <n v="24375"/>
    <n v="65"/>
    <n v="24375"/>
  </r>
  <r>
    <x v="8"/>
    <s v="VAYBOPLAS S.A.S"/>
    <s v="SEEDPACK"/>
    <x v="153"/>
    <x v="153"/>
    <n v="0"/>
    <n v="0"/>
    <n v="0"/>
    <n v="0"/>
    <n v="0"/>
    <n v="0"/>
    <n v="0"/>
    <n v="0"/>
    <n v="2160"/>
    <n v="745200"/>
    <n v="0"/>
    <n v="0"/>
    <n v="360"/>
    <n v="124200"/>
    <n v="345"/>
    <n v="468"/>
    <n v="161460"/>
    <n v="468"/>
    <n v="161460"/>
    <n v="468"/>
    <n v="161460"/>
  </r>
  <r>
    <x v="8"/>
    <s v="VAYBOPLAS S.A.S"/>
    <s v="SEEDPACK"/>
    <x v="113"/>
    <x v="113"/>
    <n v="0"/>
    <n v="0"/>
    <n v="1440"/>
    <n v="659520"/>
    <n v="0"/>
    <n v="0"/>
    <n v="0"/>
    <n v="0"/>
    <n v="720"/>
    <n v="329760"/>
    <n v="0"/>
    <n v="0"/>
    <n v="360"/>
    <n v="164880"/>
    <n v="458"/>
    <n v="468"/>
    <n v="214344"/>
    <n v="468"/>
    <n v="214344"/>
    <n v="468"/>
    <n v="214344"/>
  </r>
  <r>
    <x v="8"/>
    <s v="VAYBOPLAS S.A.S"/>
    <s v="SEEDPACK"/>
    <x v="123"/>
    <x v="123"/>
    <n v="0"/>
    <n v="0"/>
    <n v="0"/>
    <n v="0"/>
    <n v="1000"/>
    <n v="606000"/>
    <n v="0"/>
    <n v="0"/>
    <n v="500"/>
    <n v="303000"/>
    <n v="0"/>
    <n v="0"/>
    <n v="250"/>
    <n v="151500"/>
    <n v="606"/>
    <n v="325"/>
    <n v="196950"/>
    <n v="325"/>
    <n v="196950"/>
    <n v="325"/>
    <n v="196950"/>
  </r>
  <r>
    <x v="8"/>
    <s v="VAYBOPLAS S.A.S"/>
    <s v="SEEDPACK"/>
    <x v="95"/>
    <x v="95"/>
    <n v="0"/>
    <n v="0"/>
    <n v="1000"/>
    <n v="1172000"/>
    <n v="1000"/>
    <n v="1172000"/>
    <n v="0"/>
    <n v="0"/>
    <n v="0"/>
    <n v="0"/>
    <n v="0"/>
    <n v="0"/>
    <n v="333"/>
    <n v="390667"/>
    <n v="1173.1741741741741"/>
    <n v="433"/>
    <n v="507984.4174174174"/>
    <n v="433"/>
    <n v="507984.4174174174"/>
    <n v="433"/>
    <n v="507984.4174174174"/>
  </r>
  <r>
    <x v="8"/>
    <s v="VAYBOPLAS S.A.S"/>
    <s v="SEEDPACK"/>
    <x v="97"/>
    <x v="97"/>
    <n v="0"/>
    <n v="0"/>
    <n v="0"/>
    <n v="0"/>
    <n v="200"/>
    <n v="412200"/>
    <n v="0"/>
    <n v="0"/>
    <n v="200"/>
    <n v="412200"/>
    <n v="0"/>
    <n v="0"/>
    <n v="67"/>
    <n v="137400"/>
    <n v="2050.7462686567164"/>
    <n v="87"/>
    <n v="178414.92537313432"/>
    <n v="87"/>
    <n v="178414.92537313432"/>
    <n v="87"/>
    <n v="178414.92537313432"/>
  </r>
  <r>
    <x v="8"/>
    <s v="VAYBOPLAS S.A.S"/>
    <s v="SEEDPACK"/>
    <x v="157"/>
    <x v="157"/>
    <n v="0"/>
    <n v="0"/>
    <n v="0"/>
    <n v="0"/>
    <n v="500"/>
    <n v="154500"/>
    <n v="0"/>
    <n v="0"/>
    <n v="0"/>
    <n v="0"/>
    <n v="0"/>
    <n v="0"/>
    <n v="83"/>
    <n v="25750"/>
    <n v="310.24096385542168"/>
    <n v="108"/>
    <n v="33506.024096385539"/>
    <n v="108"/>
    <n v="33506.024096385539"/>
    <n v="108"/>
    <n v="33506.024096385539"/>
  </r>
  <r>
    <x v="8"/>
    <s v="VAYBOPLAS S.A.S"/>
    <s v="SEEDPACK"/>
    <x v="158"/>
    <x v="158"/>
    <n v="0"/>
    <n v="0"/>
    <n v="0"/>
    <n v="0"/>
    <n v="180"/>
    <n v="97200"/>
    <n v="0"/>
    <n v="0"/>
    <n v="0"/>
    <n v="0"/>
    <n v="0"/>
    <n v="0"/>
    <n v="30"/>
    <n v="16200"/>
    <n v="540"/>
    <n v="39"/>
    <n v="21060"/>
    <n v="39"/>
    <n v="21060"/>
    <n v="39"/>
    <n v="21060"/>
  </r>
  <r>
    <x v="8"/>
    <s v="VAYBOPLAS S.A.S"/>
    <s v="SEEDPACK"/>
    <x v="122"/>
    <x v="122"/>
    <n v="0"/>
    <n v="0"/>
    <n v="750"/>
    <n v="552750"/>
    <n v="0"/>
    <n v="0"/>
    <n v="0"/>
    <n v="0"/>
    <n v="750"/>
    <n v="552750"/>
    <n v="0"/>
    <n v="0"/>
    <n v="250"/>
    <n v="184250"/>
    <n v="737"/>
    <n v="325"/>
    <n v="239525"/>
    <n v="325"/>
    <n v="239525"/>
    <n v="325"/>
    <n v="239525"/>
  </r>
  <r>
    <x v="8"/>
    <s v="VAYBOPLAS S.A.S"/>
    <s v="SEEDPACK"/>
    <x v="98"/>
    <x v="98"/>
    <n v="0"/>
    <n v="0"/>
    <n v="500"/>
    <n v="503500"/>
    <n v="0"/>
    <n v="0"/>
    <n v="0"/>
    <n v="0"/>
    <n v="0"/>
    <n v="0"/>
    <n v="0"/>
    <n v="0"/>
    <n v="83"/>
    <n v="83917"/>
    <n v="1011.0481927710844"/>
    <n v="108"/>
    <n v="109193.2048192771"/>
    <n v="108"/>
    <n v="109193.2048192771"/>
    <n v="108"/>
    <n v="109193.2048192771"/>
  </r>
  <r>
    <x v="8"/>
    <s v="VAYBOPLAS S.A.S"/>
    <s v="SEEDPACK"/>
    <x v="100"/>
    <x v="100"/>
    <n v="300"/>
    <n v="325500"/>
    <n v="0"/>
    <n v="0"/>
    <n v="500"/>
    <n v="542500"/>
    <n v="0"/>
    <n v="0"/>
    <n v="500"/>
    <n v="542500"/>
    <n v="0"/>
    <n v="0"/>
    <n v="217"/>
    <n v="235083"/>
    <n v="1083.331797235023"/>
    <n v="282"/>
    <n v="305499.56682027649"/>
    <n v="282"/>
    <n v="305499.56682027649"/>
    <n v="282"/>
    <n v="305499.56682027649"/>
  </r>
  <r>
    <x v="8"/>
    <s v="VAYBOPLAS S.A.S"/>
    <s v="SEEDPACK"/>
    <x v="104"/>
    <x v="104"/>
    <n v="0"/>
    <n v="0"/>
    <n v="1050"/>
    <n v="694050"/>
    <n v="0"/>
    <n v="0"/>
    <n v="0"/>
    <n v="0"/>
    <n v="0"/>
    <n v="0"/>
    <n v="0"/>
    <n v="0"/>
    <n v="175"/>
    <n v="115675"/>
    <n v="661"/>
    <n v="228"/>
    <n v="150708"/>
    <n v="228"/>
    <n v="150708"/>
    <n v="228"/>
    <n v="150708"/>
  </r>
  <r>
    <x v="8"/>
    <s v="VITAL PACK SAS"/>
    <s v="SEEDPACK"/>
    <x v="94"/>
    <x v="94"/>
    <n v="12000"/>
    <n v="1032000"/>
    <n v="30000"/>
    <n v="2580000"/>
    <n v="0"/>
    <n v="0"/>
    <n v="36000"/>
    <n v="3096000"/>
    <n v="30000"/>
    <n v="2580000"/>
    <n v="14762"/>
    <n v="1269524"/>
    <n v="20460"/>
    <n v="1759587"/>
    <n v="86.00131964809384"/>
    <n v="26598"/>
    <n v="2287463.1"/>
    <n v="26598"/>
    <n v="2287463.1"/>
    <n v="26598"/>
    <n v="2287463.1"/>
  </r>
  <r>
    <x v="8"/>
    <s v="VITAL PACK SAS"/>
    <s v="SEEDPACK"/>
    <x v="118"/>
    <x v="118"/>
    <n v="2100"/>
    <n v="984900"/>
    <n v="1500"/>
    <n v="703500"/>
    <n v="0"/>
    <n v="0"/>
    <n v="0"/>
    <n v="0"/>
    <n v="0"/>
    <n v="0"/>
    <n v="0"/>
    <n v="0"/>
    <n v="600"/>
    <n v="281400"/>
    <n v="469"/>
    <n v="780"/>
    <n v="365820"/>
    <n v="780"/>
    <n v="365820"/>
    <n v="780"/>
    <n v="365820"/>
  </r>
  <r>
    <x v="8"/>
    <s v="VITAL PACK SAS"/>
    <s v="SEEDPACK"/>
    <x v="119"/>
    <x v="119"/>
    <n v="360"/>
    <n v="229320"/>
    <n v="180"/>
    <n v="114660"/>
    <n v="0"/>
    <n v="0"/>
    <n v="360"/>
    <n v="229320"/>
    <n v="360"/>
    <n v="229320"/>
    <n v="1329"/>
    <n v="846300"/>
    <n v="431"/>
    <n v="274820"/>
    <n v="637.63341067285387"/>
    <n v="561"/>
    <n v="357712.34338747105"/>
    <n v="561"/>
    <n v="357712.34338747105"/>
    <n v="561"/>
    <n v="357712.34338747105"/>
  </r>
  <r>
    <x v="8"/>
    <s v="VITAL PACK SAS"/>
    <s v="Salseros"/>
    <x v="108"/>
    <x v="108"/>
    <n v="10000"/>
    <n v="340000"/>
    <n v="0"/>
    <n v="0"/>
    <n v="0"/>
    <n v="0"/>
    <n v="10000"/>
    <n v="340000"/>
    <n v="10000"/>
    <n v="340000"/>
    <n v="0"/>
    <n v="0"/>
    <n v="5000"/>
    <n v="170000"/>
    <n v="34"/>
    <n v="6500"/>
    <n v="221000"/>
    <n v="6500"/>
    <n v="221000"/>
    <n v="6500"/>
    <n v="221000"/>
  </r>
  <r>
    <x v="9"/>
    <s v="CARMEL CLUB CAMPESTRE"/>
    <s v="SEEDPACK"/>
    <x v="114"/>
    <x v="114"/>
    <n v="0"/>
    <n v="0"/>
    <n v="0"/>
    <n v="0"/>
    <n v="0"/>
    <n v="0"/>
    <n v="0"/>
    <n v="0"/>
    <n v="0"/>
    <n v="0"/>
    <n v="2362"/>
    <n v="1395886"/>
    <n v="394"/>
    <n v="232648"/>
    <n v="590.47715736040607"/>
    <n v="0"/>
    <n v="0"/>
    <n v="0"/>
    <n v="0"/>
    <n v="0"/>
    <n v="0"/>
  </r>
  <r>
    <x v="9"/>
    <s v="CARMEL CLUB CAMPESTRE"/>
    <s v="SEEDPACK"/>
    <x v="123"/>
    <x v="123"/>
    <n v="500"/>
    <n v="392500"/>
    <n v="0"/>
    <n v="0"/>
    <n v="0"/>
    <n v="0"/>
    <n v="0"/>
    <n v="0"/>
    <n v="0"/>
    <n v="0"/>
    <n v="0"/>
    <n v="0"/>
    <n v="83"/>
    <n v="65417"/>
    <n v="788.15662650602405"/>
    <n v="0"/>
    <n v="0"/>
    <n v="0"/>
    <n v="0"/>
    <n v="0"/>
    <n v="0"/>
  </r>
  <r>
    <x v="9"/>
    <s v="CI BONAFRUTTA SAS"/>
    <s v="SEEDPACK"/>
    <x v="308"/>
    <x v="307"/>
    <n v="0"/>
    <n v="0"/>
    <n v="0"/>
    <n v="0"/>
    <n v="0"/>
    <n v="0"/>
    <n v="0"/>
    <n v="0"/>
    <n v="108300"/>
    <n v="22418100"/>
    <n v="0"/>
    <n v="0"/>
    <n v="18050"/>
    <n v="3736350"/>
    <n v="207"/>
    <n v="100000"/>
    <n v="20700000"/>
    <n v="100000"/>
    <n v="20700000"/>
    <n v="100000"/>
    <n v="20700000"/>
  </r>
  <r>
    <x v="9"/>
    <s v="CI BONAFRUTTA SAS"/>
    <s v="SEEDPACK"/>
    <x v="114"/>
    <x v="114"/>
    <n v="0"/>
    <n v="0"/>
    <n v="34400"/>
    <n v="14138400"/>
    <n v="111200"/>
    <n v="45703200"/>
    <n v="40000"/>
    <n v="16440000"/>
    <n v="0"/>
    <n v="0"/>
    <n v="0"/>
    <n v="0"/>
    <n v="30933"/>
    <n v="12713600"/>
    <n v="411.00442892703586"/>
    <n v="40213"/>
    <n v="16527721.100442894"/>
    <n v="40213"/>
    <n v="16527721.100442894"/>
    <n v="40213"/>
    <n v="16527721.100442894"/>
  </r>
  <r>
    <x v="9"/>
    <s v="COMERCIALIZADORA NIRMA SAS"/>
    <s v="SEEDPACK"/>
    <x v="113"/>
    <x v="113"/>
    <n v="0"/>
    <n v="0"/>
    <n v="0"/>
    <n v="0"/>
    <n v="720"/>
    <n v="340560"/>
    <n v="0"/>
    <n v="0"/>
    <n v="0"/>
    <n v="0"/>
    <n v="0"/>
    <n v="0"/>
    <n v="120"/>
    <n v="56760"/>
    <n v="473"/>
    <n v="156"/>
    <n v="73788"/>
    <n v="156"/>
    <n v="73788"/>
    <n v="156"/>
    <n v="73788"/>
  </r>
  <r>
    <x v="9"/>
    <s v="COMERCIALIZADORA NIRMA SAS"/>
    <s v="SEEDPACK"/>
    <x v="102"/>
    <x v="102"/>
    <n v="720"/>
    <n v="356400"/>
    <n v="0"/>
    <n v="0"/>
    <n v="360"/>
    <n v="178200"/>
    <n v="0"/>
    <n v="0"/>
    <n v="0"/>
    <n v="0"/>
    <n v="0"/>
    <n v="0"/>
    <n v="180"/>
    <n v="89100"/>
    <n v="495"/>
    <n v="234"/>
    <n v="115830"/>
    <n v="234"/>
    <n v="115830"/>
    <n v="234"/>
    <n v="115830"/>
  </r>
  <r>
    <x v="9"/>
    <s v="COMERCIALIZADORA NIRMA SAS"/>
    <s v="Salseros"/>
    <x v="110"/>
    <x v="110"/>
    <n v="5000"/>
    <n v="180000"/>
    <n v="0"/>
    <n v="0"/>
    <n v="10000"/>
    <n v="360000"/>
    <n v="0"/>
    <n v="0"/>
    <n v="15000"/>
    <n v="540000"/>
    <n v="0"/>
    <n v="0"/>
    <n v="5000"/>
    <n v="180000"/>
    <n v="36"/>
    <n v="6500"/>
    <n v="234000"/>
    <n v="6500"/>
    <n v="234000"/>
    <n v="6500"/>
    <n v="234000"/>
  </r>
  <r>
    <x v="9"/>
    <s v="CONNPA SAS"/>
    <s v="Salseros"/>
    <x v="110"/>
    <x v="110"/>
    <n v="0"/>
    <n v="0"/>
    <n v="0"/>
    <n v="0"/>
    <n v="0"/>
    <n v="0"/>
    <n v="0"/>
    <n v="0"/>
    <n v="100000"/>
    <n v="3660000"/>
    <n v="0"/>
    <n v="0"/>
    <n v="16667"/>
    <n v="610000"/>
    <n v="36.599268014639705"/>
    <n v="21667"/>
    <n v="792996.34007319843"/>
    <n v="40000"/>
    <n v="1463970.7205855881"/>
    <n v="40000"/>
    <n v="1463970.7205855881"/>
  </r>
  <r>
    <x v="9"/>
    <s v="DEKARLA SAS"/>
    <s v="BOLSAS"/>
    <x v="150"/>
    <x v="150"/>
    <n v="2100"/>
    <n v="1493100"/>
    <n v="0"/>
    <n v="0"/>
    <n v="2100"/>
    <n v="1493100"/>
    <n v="2100"/>
    <n v="1493100"/>
    <n v="2100"/>
    <n v="1493100"/>
    <n v="0"/>
    <n v="0"/>
    <n v="1400"/>
    <n v="995400"/>
    <n v="711"/>
    <n v="1820"/>
    <n v="1294020"/>
    <n v="1820"/>
    <n v="1294020"/>
    <n v="1820"/>
    <n v="1294020"/>
  </r>
  <r>
    <x v="9"/>
    <s v="DEKARLA SAS"/>
    <s v="BOLSAS"/>
    <x v="151"/>
    <x v="151"/>
    <n v="2000"/>
    <n v="1238000"/>
    <n v="0"/>
    <n v="0"/>
    <n v="2000"/>
    <n v="1238000"/>
    <n v="2000"/>
    <n v="1238000"/>
    <n v="2000"/>
    <n v="1238000"/>
    <n v="0"/>
    <n v="0"/>
    <n v="1333"/>
    <n v="825333"/>
    <n v="619.15453863465871"/>
    <n v="1733"/>
    <n v="1072994.8154538635"/>
    <n v="1733"/>
    <n v="1072994.8154538635"/>
    <n v="1733"/>
    <n v="1072994.8154538635"/>
  </r>
  <r>
    <x v="9"/>
    <s v="FIOREZONAG SAS"/>
    <s v="SEEDPACK"/>
    <x v="309"/>
    <x v="308"/>
    <n v="0"/>
    <n v="0"/>
    <n v="0"/>
    <n v="0"/>
    <n v="0"/>
    <n v="0"/>
    <n v="6000"/>
    <n v="708000"/>
    <n v="0"/>
    <n v="0"/>
    <n v="0"/>
    <n v="0"/>
    <n v="1000"/>
    <n v="118000"/>
    <n v="118"/>
    <n v="1300"/>
    <n v="153400"/>
    <n v="1300"/>
    <n v="153400"/>
    <n v="1300"/>
    <n v="153400"/>
  </r>
  <r>
    <x v="9"/>
    <s v="FIOREZONAG SAS"/>
    <s v="SEEDPACK"/>
    <x v="310"/>
    <x v="309"/>
    <n v="0"/>
    <n v="0"/>
    <n v="0"/>
    <n v="0"/>
    <n v="0"/>
    <n v="0"/>
    <n v="7000"/>
    <n v="826000"/>
    <n v="0"/>
    <n v="0"/>
    <n v="0"/>
    <n v="0"/>
    <n v="1167"/>
    <n v="137667"/>
    <n v="117.96658097686375"/>
    <n v="1517"/>
    <n v="178955.30334190233"/>
    <n v="1517"/>
    <n v="178955.30334190233"/>
    <n v="1517"/>
    <n v="178955.30334190233"/>
  </r>
  <r>
    <x v="9"/>
    <s v="FIOREZONAG SAS"/>
    <s v="SEEDPACK"/>
    <x v="311"/>
    <x v="310"/>
    <n v="0"/>
    <n v="0"/>
    <n v="0"/>
    <n v="0"/>
    <n v="0"/>
    <n v="0"/>
    <n v="7000"/>
    <n v="826000"/>
    <n v="0"/>
    <n v="0"/>
    <n v="0"/>
    <n v="0"/>
    <n v="1167"/>
    <n v="137667"/>
    <n v="117.96658097686375"/>
    <n v="1517"/>
    <n v="178955.30334190233"/>
    <n v="1517"/>
    <n v="178955.30334190233"/>
    <n v="1517"/>
    <n v="178955.30334190233"/>
  </r>
  <r>
    <x v="9"/>
    <s v="FIOREZONAG SAS"/>
    <s v="SEEDPACK"/>
    <x v="312"/>
    <x v="311"/>
    <n v="0"/>
    <n v="0"/>
    <n v="0"/>
    <n v="0"/>
    <n v="0"/>
    <n v="0"/>
    <n v="1000"/>
    <n v="2898000"/>
    <n v="0"/>
    <n v="0"/>
    <n v="0"/>
    <n v="0"/>
    <n v="167"/>
    <n v="483000"/>
    <n v="2892.2155688622756"/>
    <n v="217"/>
    <n v="627610.77844311378"/>
    <n v="217"/>
    <n v="627610.77844311378"/>
    <n v="217"/>
    <n v="627610.77844311378"/>
  </r>
  <r>
    <x v="9"/>
    <s v="FIOREZONAG SAS"/>
    <s v="SEEDPACK"/>
    <x v="313"/>
    <x v="312"/>
    <n v="0"/>
    <n v="0"/>
    <n v="950"/>
    <n v="2753100"/>
    <n v="0"/>
    <n v="0"/>
    <n v="0"/>
    <n v="0"/>
    <n v="0"/>
    <n v="0"/>
    <n v="0"/>
    <n v="0"/>
    <n v="158"/>
    <n v="458850"/>
    <n v="2904.1139240506327"/>
    <n v="206"/>
    <n v="598247.46835443028"/>
    <n v="206"/>
    <n v="598247.46835443028"/>
    <n v="206"/>
    <n v="598247.46835443028"/>
  </r>
  <r>
    <x v="9"/>
    <s v="FIOREZONAG SAS"/>
    <s v="SEEDPACK"/>
    <x v="314"/>
    <x v="313"/>
    <n v="0"/>
    <n v="0"/>
    <n v="0"/>
    <n v="0"/>
    <n v="500"/>
    <n v="2044000"/>
    <n v="0"/>
    <n v="0"/>
    <n v="0"/>
    <n v="0"/>
    <n v="0"/>
    <n v="0"/>
    <n v="83"/>
    <n v="340667"/>
    <n v="4104.4216867469877"/>
    <n v="108"/>
    <n v="443277.54216867464"/>
    <n v="108"/>
    <n v="443277.54216867464"/>
    <n v="108"/>
    <n v="443277.54216867464"/>
  </r>
  <r>
    <x v="9"/>
    <s v="FIOREZONAG SAS"/>
    <s v="SEEDPACK"/>
    <x v="315"/>
    <x v="314"/>
    <n v="0"/>
    <n v="0"/>
    <n v="0"/>
    <n v="0"/>
    <n v="500"/>
    <n v="2044000"/>
    <n v="0"/>
    <n v="0"/>
    <n v="0"/>
    <n v="0"/>
    <n v="0"/>
    <n v="0"/>
    <n v="83"/>
    <n v="340667"/>
    <n v="4104.4216867469877"/>
    <n v="108"/>
    <n v="443277.54216867464"/>
    <n v="108"/>
    <n v="443277.54216867464"/>
    <n v="108"/>
    <n v="443277.54216867464"/>
  </r>
  <r>
    <x v="9"/>
    <s v="FIOREZONAG SAS"/>
    <s v="SEEDPACK"/>
    <x v="316"/>
    <x v="315"/>
    <n v="0"/>
    <n v="0"/>
    <n v="0"/>
    <n v="0"/>
    <n v="500"/>
    <n v="2044000"/>
    <n v="0"/>
    <n v="0"/>
    <n v="0"/>
    <n v="0"/>
    <n v="0"/>
    <n v="0"/>
    <n v="83"/>
    <n v="340667"/>
    <n v="4104.4216867469877"/>
    <n v="108"/>
    <n v="443277.54216867464"/>
    <n v="108"/>
    <n v="443277.54216867464"/>
    <n v="108"/>
    <n v="443277.54216867464"/>
  </r>
  <r>
    <x v="9"/>
    <s v="GREEN AND FRESH LTDA"/>
    <s v="SEEDPACK"/>
    <x v="113"/>
    <x v="113"/>
    <n v="0"/>
    <n v="0"/>
    <n v="20160"/>
    <n v="8285760"/>
    <n v="0"/>
    <n v="0"/>
    <n v="0"/>
    <n v="0"/>
    <n v="0"/>
    <n v="0"/>
    <n v="0"/>
    <n v="0"/>
    <n v="3360"/>
    <n v="1380960"/>
    <n v="411"/>
    <n v="4368"/>
    <n v="1795248"/>
    <n v="4368"/>
    <n v="1795248"/>
    <n v="4368"/>
    <n v="1795248"/>
  </r>
  <r>
    <x v="9"/>
    <s v="GREEN AND FRESH LTDA"/>
    <s v="SEEDPACK"/>
    <x v="114"/>
    <x v="114"/>
    <n v="0"/>
    <n v="0"/>
    <n v="0"/>
    <n v="0"/>
    <n v="24800"/>
    <n v="10192800"/>
    <n v="40000"/>
    <n v="16440000"/>
    <n v="0"/>
    <n v="0"/>
    <n v="0"/>
    <n v="0"/>
    <n v="10800"/>
    <n v="4438800"/>
    <n v="411"/>
    <n v="14040"/>
    <n v="5770440"/>
    <n v="14040"/>
    <n v="5770440"/>
    <n v="14040"/>
    <n v="5770440"/>
  </r>
  <r>
    <x v="9"/>
    <s v="GREEN AND FRESH LTDA"/>
    <s v="SEEDPACK"/>
    <x v="317"/>
    <x v="316"/>
    <n v="5000"/>
    <n v="5900000"/>
    <n v="0"/>
    <n v="0"/>
    <n v="0"/>
    <n v="0"/>
    <n v="0"/>
    <n v="0"/>
    <n v="0"/>
    <n v="0"/>
    <n v="0"/>
    <n v="0"/>
    <n v="833"/>
    <n v="983333"/>
    <n v="1180.4717887154861"/>
    <n v="0"/>
    <n v="0"/>
    <n v="0"/>
    <n v="0"/>
    <n v="0"/>
    <n v="0"/>
  </r>
  <r>
    <x v="9"/>
    <s v="GREEN AND FRESH LTDA"/>
    <s v="SEEDPACK"/>
    <x v="318"/>
    <x v="317"/>
    <n v="0"/>
    <n v="0"/>
    <n v="0"/>
    <n v="0"/>
    <n v="0"/>
    <n v="0"/>
    <n v="0"/>
    <n v="0"/>
    <n v="6000"/>
    <n v="7344000"/>
    <n v="0"/>
    <n v="0"/>
    <n v="1000"/>
    <n v="1224000"/>
    <n v="1224"/>
    <n v="0"/>
    <n v="0"/>
    <n v="0"/>
    <n v="0"/>
    <n v="0"/>
    <n v="0"/>
  </r>
  <r>
    <x v="9"/>
    <s v="GREEN AND FRESH LTDA"/>
    <s v="SEEDPACK"/>
    <x v="319"/>
    <x v="318"/>
    <n v="0"/>
    <n v="0"/>
    <n v="0"/>
    <n v="0"/>
    <n v="0"/>
    <n v="0"/>
    <n v="0"/>
    <n v="0"/>
    <n v="12000"/>
    <n v="3612000"/>
    <n v="0"/>
    <n v="0"/>
    <n v="2000"/>
    <n v="602000"/>
    <n v="301"/>
    <n v="0"/>
    <n v="0"/>
    <n v="0"/>
    <n v="0"/>
    <n v="0"/>
    <n v="0"/>
  </r>
  <r>
    <x v="9"/>
    <s v="INGRIS JOHANA JARAVA DIAZ"/>
    <s v="PLATOS"/>
    <x v="115"/>
    <x v="115"/>
    <n v="0"/>
    <n v="0"/>
    <n v="720"/>
    <n v="227520"/>
    <n v="0"/>
    <n v="0"/>
    <n v="0"/>
    <n v="0"/>
    <n v="0"/>
    <n v="0"/>
    <n v="0"/>
    <n v="0"/>
    <n v="120"/>
    <n v="37920"/>
    <n v="316"/>
    <n v="0"/>
    <n v="0"/>
    <n v="0"/>
    <n v="0"/>
    <n v="0"/>
    <n v="0"/>
  </r>
  <r>
    <x v="9"/>
    <s v="INGRIS JOHANA JARAVA DIAZ"/>
    <s v="SEEDPACK"/>
    <x v="94"/>
    <x v="94"/>
    <n v="0"/>
    <n v="0"/>
    <n v="80000"/>
    <n v="6848000"/>
    <n v="0"/>
    <n v="0"/>
    <n v="20000"/>
    <n v="1712000"/>
    <n v="0"/>
    <n v="0"/>
    <n v="0"/>
    <n v="0"/>
    <n v="16667"/>
    <n v="1426667"/>
    <n v="85.598308033839317"/>
    <n v="21667"/>
    <n v="1854658.5401691964"/>
    <n v="21667"/>
    <n v="1854658.5401691964"/>
    <n v="21667"/>
    <n v="1854658.5401691964"/>
  </r>
  <r>
    <x v="9"/>
    <s v="INGRIS JOHANA JARAVA DIAZ"/>
    <s v="SEEDPACK"/>
    <x v="113"/>
    <x v="113"/>
    <n v="720"/>
    <n v="340560"/>
    <n v="1440"/>
    <n v="681120"/>
    <n v="0"/>
    <n v="0"/>
    <n v="0"/>
    <n v="0"/>
    <n v="0"/>
    <n v="0"/>
    <n v="0"/>
    <n v="0"/>
    <n v="360"/>
    <n v="170280"/>
    <n v="473"/>
    <n v="468"/>
    <n v="221364"/>
    <n v="468"/>
    <n v="221364"/>
    <n v="468"/>
    <n v="221364"/>
  </r>
  <r>
    <x v="9"/>
    <s v="INGRIS JOHANA JARAVA DIAZ"/>
    <s v="SEEDPACK"/>
    <x v="122"/>
    <x v="122"/>
    <n v="0"/>
    <n v="0"/>
    <n v="300"/>
    <n v="260400"/>
    <n v="0"/>
    <n v="0"/>
    <n v="300"/>
    <n v="260400"/>
    <n v="0"/>
    <n v="0"/>
    <n v="0"/>
    <n v="0"/>
    <n v="100"/>
    <n v="86800"/>
    <n v="868"/>
    <n v="130"/>
    <n v="112840"/>
    <n v="130"/>
    <n v="112840"/>
    <n v="130"/>
    <n v="112840"/>
  </r>
  <r>
    <x v="9"/>
    <s v="INGRIS JOHANA JARAVA DIAZ"/>
    <s v="SEEDPACK"/>
    <x v="98"/>
    <x v="98"/>
    <n v="500"/>
    <n v="588000"/>
    <n v="0"/>
    <n v="0"/>
    <n v="0"/>
    <n v="0"/>
    <n v="300"/>
    <n v="352800"/>
    <n v="0"/>
    <n v="0"/>
    <n v="0"/>
    <n v="0"/>
    <n v="133"/>
    <n v="156800"/>
    <n v="1178.9473684210527"/>
    <n v="173"/>
    <n v="203957.89473684211"/>
    <n v="173"/>
    <n v="203957.89473684211"/>
    <n v="173"/>
    <n v="203957.89473684211"/>
  </r>
  <r>
    <x v="9"/>
    <s v="INGRIS JOHANA JARAVA DIAZ"/>
    <s v="SEEDPACK"/>
    <x v="131"/>
    <x v="131"/>
    <n v="0"/>
    <n v="0"/>
    <n v="0"/>
    <n v="0"/>
    <n v="0"/>
    <n v="0"/>
    <n v="100"/>
    <n v="150400"/>
    <n v="0"/>
    <n v="0"/>
    <n v="0"/>
    <n v="0"/>
    <n v="17"/>
    <n v="25067"/>
    <n v="1474.5294117647059"/>
    <n v="22"/>
    <n v="32439.647058823528"/>
    <n v="22"/>
    <n v="32439.647058823528"/>
    <n v="22"/>
    <n v="32439.647058823528"/>
  </r>
  <r>
    <x v="9"/>
    <s v="INGRIS JOHANA JARAVA DIAZ"/>
    <s v="SEEDPACK"/>
    <x v="118"/>
    <x v="118"/>
    <n v="0"/>
    <n v="0"/>
    <n v="0"/>
    <n v="0"/>
    <n v="1500"/>
    <n v="703500"/>
    <n v="600"/>
    <n v="281400"/>
    <n v="0"/>
    <n v="0"/>
    <n v="0"/>
    <n v="0"/>
    <n v="350"/>
    <n v="164150"/>
    <n v="469"/>
    <n v="455"/>
    <n v="213395"/>
    <n v="455"/>
    <n v="213395"/>
    <n v="455"/>
    <n v="213395"/>
  </r>
  <r>
    <x v="9"/>
    <s v="INGRIS JOHANA JARAVA DIAZ"/>
    <s v="SEEDPACK"/>
    <x v="119"/>
    <x v="119"/>
    <n v="180"/>
    <n v="114660"/>
    <n v="540"/>
    <n v="343980"/>
    <n v="0"/>
    <n v="0"/>
    <n v="540"/>
    <n v="343980"/>
    <n v="0"/>
    <n v="0"/>
    <n v="0"/>
    <n v="0"/>
    <n v="210"/>
    <n v="133770"/>
    <n v="637"/>
    <n v="273"/>
    <n v="173901"/>
    <n v="273"/>
    <n v="173901"/>
    <n v="273"/>
    <n v="173901"/>
  </r>
  <r>
    <x v="9"/>
    <s v="INGRIS JOHANA JARAVA DIAZ"/>
    <s v="SEEDPACK"/>
    <x v="102"/>
    <x v="102"/>
    <n v="0"/>
    <n v="0"/>
    <n v="0"/>
    <n v="0"/>
    <n v="0"/>
    <n v="0"/>
    <n v="360"/>
    <n v="178200"/>
    <n v="0"/>
    <n v="0"/>
    <n v="0"/>
    <n v="0"/>
    <n v="60"/>
    <n v="29700"/>
    <n v="495"/>
    <n v="78"/>
    <n v="38610"/>
    <n v="78"/>
    <n v="38610"/>
    <n v="78"/>
    <n v="38610"/>
  </r>
  <r>
    <x v="9"/>
    <s v="INGRIS JOHANA JARAVA DIAZ"/>
    <s v="SEEDPACK"/>
    <x v="104"/>
    <x v="104"/>
    <n v="0"/>
    <n v="0"/>
    <n v="0"/>
    <n v="0"/>
    <n v="0"/>
    <n v="0"/>
    <n v="210"/>
    <n v="144270"/>
    <n v="0"/>
    <n v="0"/>
    <n v="0"/>
    <n v="0"/>
    <n v="35"/>
    <n v="24045"/>
    <n v="687"/>
    <n v="46"/>
    <n v="31602"/>
    <n v="46"/>
    <n v="31602"/>
    <n v="46"/>
    <n v="31602"/>
  </r>
  <r>
    <x v="9"/>
    <s v="INGRIS JOHANA JARAVA DIAZ"/>
    <s v="Salseros"/>
    <x v="108"/>
    <x v="108"/>
    <n v="0"/>
    <n v="0"/>
    <n v="25000"/>
    <n v="892500"/>
    <n v="0"/>
    <n v="0"/>
    <n v="50000"/>
    <n v="1785000"/>
    <n v="0"/>
    <n v="0"/>
    <n v="0"/>
    <n v="0"/>
    <n v="12500"/>
    <n v="446250"/>
    <n v="35.700000000000003"/>
    <n v="16250"/>
    <n v="580125"/>
    <n v="16250"/>
    <n v="580125"/>
    <n v="16250"/>
    <n v="580125"/>
  </r>
  <r>
    <x v="9"/>
    <s v="NAYIB  CARREAZO MORENO"/>
    <s v="BOLSAS"/>
    <x v="139"/>
    <x v="139"/>
    <n v="500"/>
    <n v="440500"/>
    <n v="0"/>
    <n v="0"/>
    <n v="0"/>
    <n v="0"/>
    <n v="0"/>
    <n v="0"/>
    <n v="0"/>
    <n v="0"/>
    <n v="0"/>
    <n v="0"/>
    <n v="83"/>
    <n v="73417"/>
    <n v="884.54216867469881"/>
    <n v="108"/>
    <n v="95530.554216867473"/>
    <n v="108"/>
    <n v="95530.554216867473"/>
    <n v="108"/>
    <n v="95530.554216867473"/>
  </r>
  <r>
    <x v="9"/>
    <s v="NAYIB  CARREAZO MORENO"/>
    <s v="BOLSAS"/>
    <x v="140"/>
    <x v="140"/>
    <n v="500"/>
    <n v="345500"/>
    <n v="0"/>
    <n v="0"/>
    <n v="0"/>
    <n v="0"/>
    <n v="0"/>
    <n v="0"/>
    <n v="0"/>
    <n v="0"/>
    <n v="1181"/>
    <n v="816038"/>
    <n v="280"/>
    <n v="193590"/>
    <n v="691.39285714285711"/>
    <n v="364"/>
    <n v="251667"/>
    <n v="364"/>
    <n v="251667"/>
    <n v="364"/>
    <n v="251667"/>
  </r>
  <r>
    <x v="9"/>
    <s v="NAYIB  CARREAZO MORENO"/>
    <s v="PLATOS"/>
    <x v="115"/>
    <x v="115"/>
    <n v="0"/>
    <n v="0"/>
    <n v="0"/>
    <n v="0"/>
    <n v="720"/>
    <n v="224640"/>
    <n v="0"/>
    <n v="0"/>
    <n v="0"/>
    <n v="0"/>
    <n v="0"/>
    <n v="0"/>
    <n v="120"/>
    <n v="37440"/>
    <n v="312"/>
    <n v="156"/>
    <n v="48672"/>
    <n v="156"/>
    <n v="48672"/>
    <n v="156"/>
    <n v="48672"/>
  </r>
  <r>
    <x v="9"/>
    <s v="NAYIB  CARREAZO MORENO"/>
    <s v="PLATOS"/>
    <x v="116"/>
    <x v="116"/>
    <n v="0"/>
    <n v="0"/>
    <n v="0"/>
    <n v="0"/>
    <n v="1120"/>
    <n v="477120"/>
    <n v="0"/>
    <n v="0"/>
    <n v="0"/>
    <n v="0"/>
    <n v="0"/>
    <n v="0"/>
    <n v="187"/>
    <n v="79520"/>
    <n v="425.24064171122996"/>
    <n v="243"/>
    <n v="103333.47593582887"/>
    <n v="243"/>
    <n v="103333.47593582887"/>
    <n v="243"/>
    <n v="103333.47593582887"/>
  </r>
  <r>
    <x v="9"/>
    <s v="NAYIB  CARREAZO MORENO"/>
    <s v="PLATOS"/>
    <x v="152"/>
    <x v="152"/>
    <n v="0"/>
    <n v="0"/>
    <n v="0"/>
    <n v="0"/>
    <n v="480"/>
    <n v="264000"/>
    <n v="0"/>
    <n v="0"/>
    <n v="480"/>
    <n v="253440"/>
    <n v="0"/>
    <n v="0"/>
    <n v="160"/>
    <n v="86240"/>
    <n v="539"/>
    <n v="208"/>
    <n v="112112"/>
    <n v="208"/>
    <n v="112112"/>
    <n v="208"/>
    <n v="112112"/>
  </r>
  <r>
    <x v="9"/>
    <s v="NAYIB  CARREAZO MORENO"/>
    <s v="PLATOS"/>
    <x v="167"/>
    <x v="167"/>
    <n v="9920"/>
    <n v="2096394"/>
    <n v="0"/>
    <n v="0"/>
    <n v="1240"/>
    <n v="262049"/>
    <n v="0"/>
    <n v="0"/>
    <n v="0"/>
    <n v="0"/>
    <n v="3661"/>
    <n v="773668"/>
    <n v="2470"/>
    <n v="522019"/>
    <n v="211.34372469635628"/>
    <n v="3211"/>
    <n v="678624.7"/>
    <n v="3211"/>
    <n v="678624.7"/>
    <n v="3211"/>
    <n v="678624.7"/>
  </r>
  <r>
    <x v="9"/>
    <s v="NAYIB  CARREAZO MORENO"/>
    <s v="SEEDPACK"/>
    <x v="135"/>
    <x v="135"/>
    <n v="0"/>
    <n v="0"/>
    <n v="0"/>
    <n v="0"/>
    <n v="3960"/>
    <n v="1461240"/>
    <n v="0"/>
    <n v="0"/>
    <n v="0"/>
    <n v="0"/>
    <n v="0"/>
    <n v="0"/>
    <n v="660"/>
    <n v="243540"/>
    <n v="369"/>
    <n v="858"/>
    <n v="316602"/>
    <n v="858"/>
    <n v="316602"/>
    <n v="858"/>
    <n v="316602"/>
  </r>
  <r>
    <x v="9"/>
    <s v="NAYIB  CARREAZO MORENO"/>
    <s v="SEEDPACK"/>
    <x v="113"/>
    <x v="113"/>
    <n v="0"/>
    <n v="0"/>
    <n v="0"/>
    <n v="0"/>
    <n v="720"/>
    <n v="336240"/>
    <n v="0"/>
    <n v="0"/>
    <n v="0"/>
    <n v="0"/>
    <n v="0"/>
    <n v="0"/>
    <n v="120"/>
    <n v="56040"/>
    <n v="467"/>
    <n v="156"/>
    <n v="72852"/>
    <n v="156"/>
    <n v="72852"/>
    <n v="156"/>
    <n v="72852"/>
  </r>
  <r>
    <x v="9"/>
    <s v="NAYIB  CARREAZO MORENO"/>
    <s v="SEEDPACK"/>
    <x v="123"/>
    <x v="123"/>
    <n v="0"/>
    <n v="0"/>
    <n v="0"/>
    <n v="0"/>
    <n v="1000"/>
    <n v="618000"/>
    <n v="0"/>
    <n v="0"/>
    <n v="0"/>
    <n v="0"/>
    <n v="0"/>
    <n v="0"/>
    <n v="167"/>
    <n v="103000"/>
    <n v="616.76646706586826"/>
    <n v="217"/>
    <n v="133838.32335329341"/>
    <n v="217"/>
    <n v="133838.32335329341"/>
    <n v="217"/>
    <n v="133838.32335329341"/>
  </r>
  <r>
    <x v="9"/>
    <s v="NAYIB  CARREAZO MORENO"/>
    <s v="SEEDPACK"/>
    <x v="184"/>
    <x v="184"/>
    <n v="0"/>
    <n v="0"/>
    <n v="0"/>
    <n v="0"/>
    <n v="1320"/>
    <n v="770880"/>
    <n v="0"/>
    <n v="0"/>
    <n v="0"/>
    <n v="0"/>
    <n v="0"/>
    <n v="0"/>
    <n v="220"/>
    <n v="128480"/>
    <n v="584"/>
    <n v="286"/>
    <n v="167024"/>
    <n v="286"/>
    <n v="167024"/>
    <n v="286"/>
    <n v="167024"/>
  </r>
  <r>
    <x v="9"/>
    <s v="NAYIB  CARREAZO MORENO"/>
    <s v="SEEDPACK"/>
    <x v="95"/>
    <x v="95"/>
    <n v="0"/>
    <n v="0"/>
    <n v="0"/>
    <n v="0"/>
    <n v="100"/>
    <n v="119500"/>
    <n v="0"/>
    <n v="0"/>
    <n v="0"/>
    <n v="0"/>
    <n v="0"/>
    <n v="0"/>
    <n v="17"/>
    <n v="19917"/>
    <n v="1171.5882352941176"/>
    <n v="22"/>
    <n v="25774.941176470587"/>
    <n v="22"/>
    <n v="25774.941176470587"/>
    <n v="22"/>
    <n v="25774.941176470587"/>
  </r>
  <r>
    <x v="9"/>
    <s v="NAYIB  CARREAZO MORENO"/>
    <s v="SEEDPACK"/>
    <x v="270"/>
    <x v="269"/>
    <n v="0"/>
    <n v="0"/>
    <n v="0"/>
    <n v="0"/>
    <n v="0"/>
    <n v="0"/>
    <n v="0"/>
    <n v="0"/>
    <n v="160"/>
    <n v="173600"/>
    <n v="236"/>
    <n v="256267"/>
    <n v="66"/>
    <n v="71644"/>
    <n v="1085.5151515151515"/>
    <n v="86"/>
    <n v="93354.303030303025"/>
    <n v="86"/>
    <n v="93354.303030303025"/>
    <n v="86"/>
    <n v="93354.303030303025"/>
  </r>
  <r>
    <x v="9"/>
    <s v="NAYIB  CARREAZO MORENO"/>
    <s v="SEEDPACK"/>
    <x v="98"/>
    <x v="98"/>
    <n v="600"/>
    <n v="616200"/>
    <n v="0"/>
    <n v="0"/>
    <n v="2000"/>
    <n v="2054000"/>
    <n v="0"/>
    <n v="0"/>
    <n v="1500"/>
    <n v="1540500"/>
    <n v="2214"/>
    <n v="2274071"/>
    <n v="1052"/>
    <n v="1080795"/>
    <n v="1027.3716730038022"/>
    <n v="1368"/>
    <n v="1405444.4486692015"/>
    <n v="1368"/>
    <n v="1405444.4486692015"/>
    <n v="1368"/>
    <n v="1405444.4486692015"/>
  </r>
  <r>
    <x v="9"/>
    <s v="NAYIB  CARREAZO MORENO"/>
    <s v="SEEDPACK"/>
    <x v="99"/>
    <x v="99"/>
    <n v="1200"/>
    <n v="2076000"/>
    <n v="0"/>
    <n v="0"/>
    <n v="1500"/>
    <n v="2595000"/>
    <n v="0"/>
    <n v="0"/>
    <n v="1000"/>
    <n v="1730000"/>
    <n v="0"/>
    <n v="0"/>
    <n v="617"/>
    <n v="1066833"/>
    <n v="1729.0648298217179"/>
    <n v="802"/>
    <n v="1386709.9935170177"/>
    <n v="802"/>
    <n v="1386709.9935170177"/>
    <n v="802"/>
    <n v="1386709.9935170177"/>
  </r>
  <r>
    <x v="9"/>
    <s v="NAYIB  CARREAZO MORENO"/>
    <s v="SEEDPACK"/>
    <x v="131"/>
    <x v="131"/>
    <n v="0"/>
    <n v="0"/>
    <n v="0"/>
    <n v="0"/>
    <n v="600"/>
    <n v="874800"/>
    <n v="0"/>
    <n v="0"/>
    <n v="0"/>
    <n v="0"/>
    <n v="1476"/>
    <n v="2152300"/>
    <n v="346"/>
    <n v="504517"/>
    <n v="1458.1416184971099"/>
    <n v="450"/>
    <n v="656163.72832369944"/>
    <n v="450"/>
    <n v="656163.72832369944"/>
    <n v="450"/>
    <n v="656163.72832369944"/>
  </r>
  <r>
    <x v="9"/>
    <s v="NAYIB  CARREAZO MORENO"/>
    <s v="SEEDPACK"/>
    <x v="101"/>
    <x v="101"/>
    <n v="450"/>
    <n v="453600"/>
    <n v="0"/>
    <n v="0"/>
    <n v="0"/>
    <n v="0"/>
    <n v="0"/>
    <n v="0"/>
    <n v="0"/>
    <n v="0"/>
    <n v="0"/>
    <n v="0"/>
    <n v="75"/>
    <n v="75600"/>
    <n v="1008"/>
    <n v="98"/>
    <n v="98784"/>
    <n v="98"/>
    <n v="98784"/>
    <n v="98"/>
    <n v="98784"/>
  </r>
  <r>
    <x v="9"/>
    <s v="NAYIB  CARREAZO MORENO"/>
    <s v="SEEDPACK"/>
    <x v="104"/>
    <x v="104"/>
    <n v="2100"/>
    <n v="1428000"/>
    <n v="0"/>
    <n v="0"/>
    <n v="0"/>
    <n v="0"/>
    <n v="0"/>
    <n v="0"/>
    <n v="0"/>
    <n v="0"/>
    <n v="0"/>
    <n v="0"/>
    <n v="350"/>
    <n v="238000"/>
    <n v="680"/>
    <n v="455"/>
    <n v="309400"/>
    <n v="455"/>
    <n v="309400"/>
    <n v="455"/>
    <n v="309400"/>
  </r>
  <r>
    <x v="9"/>
    <s v="NAYIB  CARREAZO MORENO"/>
    <s v="Salseros"/>
    <x v="108"/>
    <x v="108"/>
    <n v="30000"/>
    <n v="1110000"/>
    <n v="0"/>
    <n v="0"/>
    <n v="0"/>
    <n v="0"/>
    <n v="0"/>
    <n v="0"/>
    <n v="0"/>
    <n v="0"/>
    <n v="0"/>
    <n v="0"/>
    <n v="5000"/>
    <n v="185000"/>
    <n v="37"/>
    <n v="6500"/>
    <n v="240500"/>
    <n v="6500"/>
    <n v="240500"/>
    <n v="6500"/>
    <n v="240500"/>
  </r>
  <r>
    <x v="9"/>
    <s v="NAYIB  CARREAZO MORENO"/>
    <s v="Salseros"/>
    <x v="110"/>
    <x v="110"/>
    <n v="5000"/>
    <n v="200000"/>
    <n v="0"/>
    <n v="0"/>
    <n v="0"/>
    <n v="0"/>
    <n v="0"/>
    <n v="0"/>
    <n v="0"/>
    <n v="0"/>
    <n v="0"/>
    <n v="0"/>
    <n v="833"/>
    <n v="33333"/>
    <n v="40.015606242497"/>
    <n v="1083"/>
    <n v="43336.901560624254"/>
    <n v="1083"/>
    <n v="43336.901560624254"/>
    <n v="1083"/>
    <n v="43336.901560624254"/>
  </r>
  <r>
    <x v="9"/>
    <s v="NAYIB  CARREAZO MORENO"/>
    <s v="Salseros"/>
    <x v="132"/>
    <x v="132"/>
    <n v="0"/>
    <n v="0"/>
    <n v="0"/>
    <n v="0"/>
    <n v="5000"/>
    <n v="213000"/>
    <n v="0"/>
    <n v="0"/>
    <n v="5000"/>
    <n v="213000"/>
    <n v="0"/>
    <n v="0"/>
    <n v="1667"/>
    <n v="71000"/>
    <n v="42.591481703659269"/>
    <n v="2167"/>
    <n v="92295.740851829643"/>
    <n v="2167"/>
    <n v="92295.740851829643"/>
    <n v="2167"/>
    <n v="92295.740851829643"/>
  </r>
  <r>
    <x v="9"/>
    <s v="OLAS TRADING SAS"/>
    <s v="Salseros"/>
    <x v="108"/>
    <x v="108"/>
    <n v="60000"/>
    <n v="2196000"/>
    <n v="0"/>
    <n v="0"/>
    <n v="0"/>
    <n v="0"/>
    <n v="0"/>
    <n v="0"/>
    <n v="0"/>
    <n v="0"/>
    <n v="0"/>
    <n v="0"/>
    <n v="10000"/>
    <n v="366000"/>
    <n v="36.6"/>
    <n v="13000"/>
    <n v="475800"/>
    <n v="13000"/>
    <n v="475800"/>
    <n v="13000"/>
    <n v="475800"/>
  </r>
  <r>
    <x v="9"/>
    <s v="OLAS TRADING SAS"/>
    <s v="Salseros"/>
    <x v="132"/>
    <x v="132"/>
    <n v="0"/>
    <n v="0"/>
    <n v="20000"/>
    <n v="852000"/>
    <n v="0"/>
    <n v="0"/>
    <n v="0"/>
    <n v="0"/>
    <n v="0"/>
    <n v="0"/>
    <n v="0"/>
    <n v="0"/>
    <n v="3333"/>
    <n v="142000"/>
    <n v="42.604260426042607"/>
    <n v="4333"/>
    <n v="184604.26042604263"/>
    <n v="4333"/>
    <n v="184604.26042604263"/>
    <n v="4333"/>
    <n v="184604.26042604263"/>
  </r>
  <r>
    <x v="9"/>
    <s v="PUNTO AMARELO SAS"/>
    <s v="SEEDPACK"/>
    <x v="123"/>
    <x v="123"/>
    <n v="0"/>
    <n v="0"/>
    <n v="0"/>
    <n v="0"/>
    <n v="0"/>
    <n v="0"/>
    <n v="0"/>
    <n v="0"/>
    <n v="2000"/>
    <n v="1256000"/>
    <n v="0"/>
    <n v="0"/>
    <n v="333"/>
    <n v="209333"/>
    <n v="628.62762762762759"/>
    <n v="433"/>
    <n v="272195.76276276272"/>
    <n v="433"/>
    <n v="272195.76276276272"/>
    <n v="433"/>
    <n v="272195.76276276272"/>
  </r>
  <r>
    <x v="9"/>
    <s v="PUNTO AMARELO SAS"/>
    <s v="Salseros"/>
    <x v="108"/>
    <x v="108"/>
    <n v="0"/>
    <n v="0"/>
    <n v="0"/>
    <n v="0"/>
    <n v="0"/>
    <n v="0"/>
    <n v="0"/>
    <n v="0"/>
    <n v="10000"/>
    <n v="375000"/>
    <n v="0"/>
    <n v="0"/>
    <n v="1667"/>
    <n v="62500"/>
    <n v="37.492501499700062"/>
    <n v="2167"/>
    <n v="81246.250749850034"/>
    <n v="2167"/>
    <n v="81246.250749850034"/>
    <n v="2167"/>
    <n v="81246.250749850034"/>
  </r>
  <r>
    <x v="9"/>
    <s v="PUNTO AMARELO SAS"/>
    <s v="Salseros"/>
    <x v="110"/>
    <x v="110"/>
    <n v="0"/>
    <n v="0"/>
    <n v="0"/>
    <n v="0"/>
    <n v="0"/>
    <n v="0"/>
    <n v="0"/>
    <n v="0"/>
    <n v="10000"/>
    <n v="390000"/>
    <n v="0"/>
    <n v="0"/>
    <n v="1667"/>
    <n v="65000"/>
    <n v="38.992201559688063"/>
    <n v="2167"/>
    <n v="84496.100779844026"/>
    <n v="2167"/>
    <n v="84496.100779844026"/>
    <n v="2167"/>
    <n v="84496.100779844026"/>
  </r>
  <r>
    <x v="9"/>
    <s v="SANTA MARTA INCORPORA SAS"/>
    <s v="PLATOS"/>
    <x v="116"/>
    <x v="116"/>
    <n v="0"/>
    <n v="0"/>
    <n v="1440"/>
    <n v="616320"/>
    <n v="0"/>
    <n v="0"/>
    <n v="0"/>
    <n v="0"/>
    <n v="1680"/>
    <n v="719040"/>
    <n v="0"/>
    <n v="0"/>
    <n v="520"/>
    <n v="222560"/>
    <n v="428"/>
    <n v="676"/>
    <n v="289328"/>
    <n v="676"/>
    <n v="289328"/>
    <n v="676"/>
    <n v="289328"/>
  </r>
  <r>
    <x v="9"/>
    <s v="SOCIEDAD COMERCIALIZADORA Y DIST.ESTRENA LTDA"/>
    <s v="SEEDPACK"/>
    <x v="94"/>
    <x v="94"/>
    <n v="0"/>
    <n v="0"/>
    <n v="0"/>
    <n v="0"/>
    <n v="10000"/>
    <n v="800000"/>
    <n v="0"/>
    <n v="0"/>
    <n v="0"/>
    <n v="0"/>
    <n v="0"/>
    <n v="0"/>
    <n v="1667"/>
    <n v="133333"/>
    <n v="79.983803239352127"/>
    <n v="2167"/>
    <n v="173324.90161967606"/>
    <n v="2167"/>
    <n v="173324.90161967606"/>
    <n v="2167"/>
    <n v="173324.90161967606"/>
  </r>
  <r>
    <x v="9"/>
    <s v="SOCIEDAD COMERCIALIZADORA Y DIST.ESTRENA LTDA"/>
    <s v="SEEDPACK"/>
    <x v="166"/>
    <x v="166"/>
    <n v="600"/>
    <n v="316200"/>
    <n v="0"/>
    <n v="0"/>
    <n v="0"/>
    <n v="0"/>
    <n v="0"/>
    <n v="0"/>
    <n v="0"/>
    <n v="0"/>
    <n v="0"/>
    <n v="0"/>
    <n v="100"/>
    <n v="52700"/>
    <n v="527"/>
    <n v="130"/>
    <n v="68510"/>
    <n v="130"/>
    <n v="68510"/>
    <n v="130"/>
    <n v="68510"/>
  </r>
  <r>
    <x v="9"/>
    <s v="SOCIEDAD COMERCIALIZADORA Y DIST.ESTRENA LTDA"/>
    <s v="SEEDPACK"/>
    <x v="113"/>
    <x v="113"/>
    <n v="720"/>
    <n v="329760"/>
    <n v="0"/>
    <n v="0"/>
    <n v="0"/>
    <n v="0"/>
    <n v="0"/>
    <n v="0"/>
    <n v="0"/>
    <n v="0"/>
    <n v="0"/>
    <n v="0"/>
    <n v="120"/>
    <n v="54960"/>
    <n v="458"/>
    <n v="156"/>
    <n v="71448"/>
    <n v="156"/>
    <n v="71448"/>
    <n v="156"/>
    <n v="71448"/>
  </r>
  <r>
    <x v="9"/>
    <s v="SOCIEDAD COMERCIALIZADORA Y DIST.ESTRENA LTDA"/>
    <s v="SEEDPACK"/>
    <x v="156"/>
    <x v="156"/>
    <n v="450"/>
    <n v="386100"/>
    <n v="0"/>
    <n v="0"/>
    <n v="0"/>
    <n v="0"/>
    <n v="0"/>
    <n v="0"/>
    <n v="0"/>
    <n v="0"/>
    <n v="443"/>
    <n v="379971"/>
    <n v="149"/>
    <n v="127679"/>
    <n v="856.90604026845642"/>
    <n v="193"/>
    <n v="165382.8657718121"/>
    <n v="193"/>
    <n v="165382.8657718121"/>
    <n v="193"/>
    <n v="165382.8657718121"/>
  </r>
  <r>
    <x v="9"/>
    <s v="SOCIEDAD COMERCIALIZADORA Y DIST.ESTRENA LTDA"/>
    <s v="SEEDPACK"/>
    <x v="95"/>
    <x v="95"/>
    <n v="500"/>
    <n v="586000"/>
    <n v="0"/>
    <n v="0"/>
    <n v="0"/>
    <n v="0"/>
    <n v="0"/>
    <n v="0"/>
    <n v="300"/>
    <n v="351600"/>
    <n v="0"/>
    <n v="0"/>
    <n v="133"/>
    <n v="156267"/>
    <n v="1174.9398496240601"/>
    <n v="173"/>
    <n v="203264.59398496241"/>
    <n v="173"/>
    <n v="203264.59398496241"/>
    <n v="173"/>
    <n v="203264.59398496241"/>
  </r>
  <r>
    <x v="9"/>
    <s v="SOCIEDAD COMERCIALIZADORA Y DIST.ESTRENA LTDA"/>
    <s v="SEEDPACK"/>
    <x v="270"/>
    <x v="269"/>
    <n v="0"/>
    <n v="0"/>
    <n v="0"/>
    <n v="0"/>
    <n v="0"/>
    <n v="0"/>
    <n v="0"/>
    <n v="0"/>
    <n v="320"/>
    <n v="331520"/>
    <n v="0"/>
    <n v="0"/>
    <n v="53"/>
    <n v="55253"/>
    <n v="1042.5094339622642"/>
    <n v="69"/>
    <n v="71933.150943396235"/>
    <n v="69"/>
    <n v="71933.150943396235"/>
    <n v="69"/>
    <n v="71933.150943396235"/>
  </r>
  <r>
    <x v="9"/>
    <s v="SOCIEDAD COMERCIALIZADORA Y DIST.ESTRENA LTDA"/>
    <s v="SEEDPACK"/>
    <x v="98"/>
    <x v="98"/>
    <n v="700"/>
    <n v="697900"/>
    <n v="500"/>
    <n v="498500"/>
    <n v="0"/>
    <n v="0"/>
    <n v="200"/>
    <n v="199400"/>
    <n v="300"/>
    <n v="299100"/>
    <n v="590"/>
    <n v="588705"/>
    <n v="382"/>
    <n v="380601"/>
    <n v="996.33769633507859"/>
    <n v="496"/>
    <n v="494183.49738219898"/>
    <n v="496"/>
    <n v="494183.49738219898"/>
    <n v="496"/>
    <n v="494183.49738219898"/>
  </r>
  <r>
    <x v="9"/>
    <s v="SOCIEDAD COMERCIALIZADORA Y DIST.ESTRENA LTDA"/>
    <s v="SEEDPACK"/>
    <x v="131"/>
    <x v="131"/>
    <n v="0"/>
    <n v="0"/>
    <n v="0"/>
    <n v="0"/>
    <n v="0"/>
    <n v="0"/>
    <n v="0"/>
    <n v="0"/>
    <n v="0"/>
    <n v="0"/>
    <n v="148"/>
    <n v="205190"/>
    <n v="25"/>
    <n v="34198"/>
    <n v="1367.92"/>
    <n v="32"/>
    <n v="43773.440000000002"/>
    <n v="32"/>
    <n v="43773.440000000002"/>
    <n v="32"/>
    <n v="43773.440000000002"/>
  </r>
  <r>
    <x v="9"/>
    <s v="SOCIEDAD COMERCIALIZADORA Y DIST.ESTRENA LTDA"/>
    <s v="SEEDPACK"/>
    <x v="102"/>
    <x v="102"/>
    <n v="0"/>
    <n v="0"/>
    <n v="0"/>
    <n v="0"/>
    <n v="0"/>
    <n v="0"/>
    <n v="0"/>
    <n v="0"/>
    <n v="0"/>
    <n v="0"/>
    <n v="1063"/>
    <n v="510171"/>
    <n v="177"/>
    <n v="85029"/>
    <n v="480.38983050847457"/>
    <n v="230"/>
    <n v="110489.66101694915"/>
    <n v="230"/>
    <n v="110489.66101694915"/>
    <n v="230"/>
    <n v="110489.66101694915"/>
  </r>
  <r>
    <x v="9"/>
    <s v="SOCIEDAD COMERCIALIZADORA Y DIST.ESTRENA LTDA"/>
    <s v="SEEDPACK"/>
    <x v="103"/>
    <x v="103"/>
    <n v="0"/>
    <n v="0"/>
    <n v="0"/>
    <n v="0"/>
    <n v="0"/>
    <n v="0"/>
    <n v="540"/>
    <n v="321300"/>
    <n v="0"/>
    <n v="0"/>
    <n v="0"/>
    <n v="0"/>
    <n v="90"/>
    <n v="53550"/>
    <n v="595"/>
    <n v="117"/>
    <n v="69615"/>
    <n v="117"/>
    <n v="69615"/>
    <n v="117"/>
    <n v="69615"/>
  </r>
  <r>
    <x v="9"/>
    <s v="SOCIEDAD COMERCIALIZADORA Y DIST.ESTRENA LTDA"/>
    <s v="SEEDPACK"/>
    <x v="104"/>
    <x v="104"/>
    <n v="0"/>
    <n v="0"/>
    <n v="0"/>
    <n v="0"/>
    <n v="0"/>
    <n v="0"/>
    <n v="420"/>
    <n v="280140"/>
    <n v="0"/>
    <n v="0"/>
    <n v="0"/>
    <n v="0"/>
    <n v="70"/>
    <n v="46690"/>
    <n v="667"/>
    <n v="91"/>
    <n v="60697"/>
    <n v="91"/>
    <n v="60697"/>
    <n v="91"/>
    <n v="60697"/>
  </r>
  <r>
    <x v="9"/>
    <s v="SOCIEDAD COMERCIALIZADORA Y DIST.ESTRENA LTDA"/>
    <s v="Salseros"/>
    <x v="108"/>
    <x v="108"/>
    <n v="0"/>
    <n v="0"/>
    <n v="0"/>
    <n v="0"/>
    <n v="0"/>
    <n v="0"/>
    <n v="5000"/>
    <n v="178300"/>
    <n v="0"/>
    <n v="0"/>
    <n v="14762"/>
    <n v="526410"/>
    <n v="3294"/>
    <n v="117452"/>
    <n v="35.656344869459623"/>
    <n v="4282"/>
    <n v="152680.46873102611"/>
    <n v="4282"/>
    <n v="152680.46873102611"/>
    <n v="4282"/>
    <n v="152680.46873102611"/>
  </r>
  <r>
    <x v="9"/>
    <s v="SOCIEDAD COMERCIALIZADORA Y DIST.ESTRENA LTDA"/>
    <s v="Salseros"/>
    <x v="110"/>
    <x v="110"/>
    <n v="0"/>
    <n v="0"/>
    <n v="0"/>
    <n v="0"/>
    <n v="0"/>
    <n v="0"/>
    <n v="10000"/>
    <n v="366000"/>
    <n v="10000"/>
    <n v="366000"/>
    <n v="14762"/>
    <n v="540286"/>
    <n v="5794"/>
    <n v="212048"/>
    <n v="36.597859855022435"/>
    <n v="7532"/>
    <n v="275655.080428029"/>
    <n v="7532"/>
    <n v="275655.080428029"/>
    <n v="7532"/>
    <n v="275655.080428029"/>
  </r>
  <r>
    <x v="9"/>
    <s v="SOCIEDAD COMERCIALIZADORA Y DIST.ESTRENA LTDA"/>
    <s v="Salseros"/>
    <x v="132"/>
    <x v="132"/>
    <n v="15000"/>
    <n v="639000"/>
    <n v="0"/>
    <n v="0"/>
    <n v="0"/>
    <n v="0"/>
    <n v="0"/>
    <n v="0"/>
    <n v="0"/>
    <n v="0"/>
    <n v="0"/>
    <n v="0"/>
    <n v="2500"/>
    <n v="106500"/>
    <n v="42.6"/>
    <n v="3250"/>
    <n v="138450"/>
    <n v="3250"/>
    <n v="138450"/>
    <n v="3250"/>
    <n v="138450"/>
  </r>
  <r>
    <x v="9"/>
    <s v="TERES S.A.S"/>
    <s v="SEEDPACK"/>
    <x v="127"/>
    <x v="127"/>
    <n v="12600"/>
    <n v="4372200"/>
    <n v="3150"/>
    <n v="1093050"/>
    <n v="5040"/>
    <n v="1748880"/>
    <n v="0"/>
    <n v="0"/>
    <n v="5670"/>
    <n v="1967490"/>
    <n v="22320"/>
    <n v="7745040"/>
    <n v="8130"/>
    <n v="2821110"/>
    <n v="347"/>
    <n v="10569"/>
    <n v="3667443"/>
    <n v="10569"/>
    <n v="3667443"/>
    <n v="10569"/>
    <n v="3667443"/>
  </r>
  <r>
    <x v="9"/>
    <s v="TERES S.A.S"/>
    <s v="SEEDPACK"/>
    <x v="320"/>
    <x v="319"/>
    <n v="1500"/>
    <n v="1036500"/>
    <n v="0"/>
    <n v="0"/>
    <n v="1500"/>
    <n v="1036500"/>
    <n v="0"/>
    <n v="0"/>
    <n v="0"/>
    <n v="0"/>
    <n v="886"/>
    <n v="612029"/>
    <n v="648"/>
    <n v="447505"/>
    <n v="690.59413580246917"/>
    <n v="842"/>
    <n v="581480.26234567899"/>
    <n v="842"/>
    <n v="581480.26234567899"/>
    <n v="842"/>
    <n v="581480.26234567899"/>
  </r>
  <r>
    <x v="9"/>
    <s v="TERES S.A.S"/>
    <s v="SEEDPACK"/>
    <x v="114"/>
    <x v="114"/>
    <n v="1800"/>
    <n v="855000"/>
    <n v="800"/>
    <n v="380000"/>
    <n v="0"/>
    <n v="0"/>
    <n v="0"/>
    <n v="0"/>
    <n v="0"/>
    <n v="0"/>
    <n v="0"/>
    <n v="0"/>
    <n v="433"/>
    <n v="205833"/>
    <n v="475.36489607390303"/>
    <n v="563"/>
    <n v="267630.43648960738"/>
    <n v="563"/>
    <n v="267630.43648960738"/>
    <n v="563"/>
    <n v="267630.43648960738"/>
  </r>
  <r>
    <x v="9"/>
    <s v="TRIPLE ALIANZA S.A.S"/>
    <s v="SEEDPACK"/>
    <x v="114"/>
    <x v="114"/>
    <n v="0"/>
    <n v="0"/>
    <n v="0"/>
    <n v="0"/>
    <n v="9600"/>
    <n v="4560000"/>
    <n v="0"/>
    <n v="0"/>
    <n v="0"/>
    <n v="0"/>
    <n v="0"/>
    <n v="0"/>
    <n v="1600"/>
    <n v="760000"/>
    <n v="475"/>
    <n v="2080"/>
    <n v="988000"/>
    <n v="2080"/>
    <n v="988000"/>
    <n v="2080"/>
    <n v="988000"/>
  </r>
  <r>
    <x v="1"/>
    <s v="AGCINCO SAS"/>
    <s v="SEEDPACK"/>
    <x v="156"/>
    <x v="156"/>
    <n v="0"/>
    <n v="0"/>
    <n v="0"/>
    <n v="0"/>
    <n v="0"/>
    <n v="0"/>
    <n v="0"/>
    <n v="0"/>
    <n v="150"/>
    <n v="128700"/>
    <n v="0"/>
    <n v="0"/>
    <n v="25"/>
    <n v="21450"/>
    <n v="858"/>
    <n v="150"/>
    <n v="128700"/>
    <s v="`150"/>
    <n v="0"/>
    <n v="150"/>
    <n v="128700"/>
  </r>
  <r>
    <x v="1"/>
    <s v="AGCINCO SAS"/>
    <s v="SEEDPACK"/>
    <x v="95"/>
    <x v="95"/>
    <n v="0"/>
    <n v="0"/>
    <n v="1500"/>
    <n v="1758000"/>
    <n v="0"/>
    <n v="0"/>
    <n v="1500"/>
    <n v="1758000"/>
    <n v="1000"/>
    <n v="1172000"/>
    <n v="1476"/>
    <n v="1730095"/>
    <n v="913"/>
    <n v="1069683"/>
    <n v="1171.6133625410735"/>
    <n v="1200"/>
    <n v="1405936.0350492881"/>
    <n v="1187"/>
    <n v="1390705.0613362542"/>
    <n v="1187"/>
    <n v="1390705.0613362542"/>
  </r>
  <r>
    <x v="1"/>
    <s v="AGCINCO SAS"/>
    <s v="SEEDPACK"/>
    <x v="96"/>
    <x v="96"/>
    <n v="0"/>
    <n v="0"/>
    <n v="0"/>
    <n v="0"/>
    <n v="0"/>
    <n v="0"/>
    <n v="0"/>
    <n v="0"/>
    <n v="200"/>
    <n v="294400"/>
    <n v="0"/>
    <n v="0"/>
    <n v="33"/>
    <n v="49067"/>
    <n v="1486.878787878788"/>
    <n v="100"/>
    <n v="148687.87878787878"/>
    <n v="43"/>
    <n v="63935.787878787887"/>
    <n v="43"/>
    <n v="63935.787878787887"/>
  </r>
  <r>
    <x v="1"/>
    <s v="AGCINCO SAS"/>
    <s v="SEEDPACK"/>
    <x v="122"/>
    <x v="122"/>
    <n v="2100"/>
    <n v="1547700"/>
    <n v="0"/>
    <n v="0"/>
    <n v="0"/>
    <n v="0"/>
    <n v="900"/>
    <n v="663300"/>
    <n v="300"/>
    <n v="221100"/>
    <n v="1107"/>
    <n v="815964"/>
    <n v="735"/>
    <n v="541344"/>
    <n v="736.52244897959179"/>
    <n v="900"/>
    <n v="662870.20408163266"/>
    <n v="955"/>
    <n v="703378.93877551018"/>
    <n v="955"/>
    <n v="703378.93877551018"/>
  </r>
  <r>
    <x v="1"/>
    <s v="AGCINCO SAS"/>
    <s v="SEEDPACK"/>
    <x v="98"/>
    <x v="98"/>
    <n v="2000"/>
    <n v="2014000"/>
    <n v="0"/>
    <n v="0"/>
    <n v="1500"/>
    <n v="1510500"/>
    <n v="1500"/>
    <n v="1510500"/>
    <n v="1000"/>
    <n v="1007000"/>
    <n v="0"/>
    <n v="0"/>
    <n v="1000"/>
    <n v="1007000"/>
    <n v="1007"/>
    <n v="1300"/>
    <n v="1309100"/>
    <n v="1300"/>
    <n v="1309100"/>
    <n v="1300"/>
    <n v="1309100"/>
  </r>
  <r>
    <x v="1"/>
    <s v="AGCINCO SAS"/>
    <s v="SEEDPACK"/>
    <x v="321"/>
    <x v="320"/>
    <n v="0"/>
    <n v="0"/>
    <n v="2000"/>
    <n v="2324000"/>
    <n v="2000"/>
    <n v="2324000"/>
    <n v="0"/>
    <n v="0"/>
    <n v="700"/>
    <n v="813400"/>
    <n v="2952"/>
    <n v="3430667"/>
    <n v="1275"/>
    <n v="1482011"/>
    <n v="1162.3615686274509"/>
    <n v="2000"/>
    <n v="2324723.1372549017"/>
    <n v="0"/>
    <n v="0"/>
    <n v="2000"/>
    <n v="2324723.1372549017"/>
  </r>
  <r>
    <x v="1"/>
    <s v="AGCINCO SAS"/>
    <s v="SEEDPACK"/>
    <x v="322"/>
    <x v="321"/>
    <n v="0"/>
    <n v="0"/>
    <n v="0"/>
    <n v="0"/>
    <n v="200"/>
    <n v="232400"/>
    <n v="2000"/>
    <n v="2324000"/>
    <n v="0"/>
    <n v="0"/>
    <n v="399"/>
    <n v="463140"/>
    <n v="433"/>
    <n v="503257"/>
    <n v="1162.2563510392611"/>
    <n v="0"/>
    <n v="0"/>
    <n v="0"/>
    <n v="0"/>
    <n v="0"/>
    <n v="0"/>
  </r>
  <r>
    <x v="1"/>
    <s v="AGCINCO SAS"/>
    <s v="SEEDPACK"/>
    <x v="323"/>
    <x v="322"/>
    <n v="0"/>
    <n v="0"/>
    <n v="0"/>
    <n v="0"/>
    <n v="200"/>
    <n v="424000"/>
    <n v="0"/>
    <n v="0"/>
    <n v="0"/>
    <n v="0"/>
    <n v="0"/>
    <n v="0"/>
    <n v="33"/>
    <n v="70667"/>
    <n v="2141.4242424242425"/>
    <n v="0"/>
    <n v="0"/>
    <n v="0"/>
    <n v="0"/>
    <n v="0"/>
    <n v="0"/>
  </r>
  <r>
    <x v="1"/>
    <s v="AGCINCO SAS"/>
    <s v="SEEDPACK"/>
    <x v="118"/>
    <x v="118"/>
    <n v="0"/>
    <n v="0"/>
    <n v="0"/>
    <n v="0"/>
    <n v="300"/>
    <n v="109500"/>
    <n v="0"/>
    <n v="0"/>
    <n v="0"/>
    <n v="0"/>
    <n v="0"/>
    <n v="0"/>
    <n v="50"/>
    <n v="18250"/>
    <n v="365"/>
    <n v="0"/>
    <n v="0"/>
    <n v="0"/>
    <n v="0"/>
    <n v="65"/>
    <n v="23725"/>
  </r>
  <r>
    <x v="1"/>
    <s v="AGCINCO SAS"/>
    <s v="SEEDPACK"/>
    <x v="119"/>
    <x v="119"/>
    <n v="0"/>
    <n v="0"/>
    <n v="0"/>
    <n v="0"/>
    <n v="360"/>
    <n v="207360"/>
    <n v="0"/>
    <n v="0"/>
    <n v="360"/>
    <n v="207360"/>
    <n v="266"/>
    <n v="153051"/>
    <n v="164"/>
    <n v="94629"/>
    <n v="577.0060975609756"/>
    <n v="0"/>
    <n v="0"/>
    <n v="0"/>
    <n v="0"/>
    <n v="214"/>
    <n v="123479.30487804877"/>
  </r>
  <r>
    <x v="1"/>
    <s v="AGCINCO SAS"/>
    <s v="SEEDPACK"/>
    <x v="104"/>
    <x v="104"/>
    <n v="0"/>
    <n v="0"/>
    <n v="0"/>
    <n v="0"/>
    <n v="0"/>
    <n v="0"/>
    <n v="0"/>
    <n v="0"/>
    <n v="1050"/>
    <n v="694050"/>
    <n v="0"/>
    <n v="0"/>
    <n v="175"/>
    <n v="115675"/>
    <n v="661"/>
    <n v="0"/>
    <n v="0"/>
    <n v="0"/>
    <n v="0"/>
    <n v="228"/>
    <n v="150708"/>
  </r>
  <r>
    <x v="1"/>
    <s v="ALSERVIR SAS"/>
    <s v="SEEDPACK"/>
    <x v="104"/>
    <x v="104"/>
    <n v="0"/>
    <n v="0"/>
    <n v="0"/>
    <n v="0"/>
    <n v="0"/>
    <n v="0"/>
    <n v="0"/>
    <n v="0"/>
    <n v="0"/>
    <n v="0"/>
    <n v="620"/>
    <n v="421600"/>
    <n v="103"/>
    <n v="70267"/>
    <n v="682.20388349514565"/>
    <n v="0"/>
    <n v="0"/>
    <n v="0"/>
    <n v="0"/>
    <n v="134"/>
    <n v="91415.320388349515"/>
  </r>
  <r>
    <x v="1"/>
    <s v="COOPERATIVA COLANTA"/>
    <s v="SEEDPACK"/>
    <x v="166"/>
    <x v="166"/>
    <n v="5400"/>
    <n v="3531600"/>
    <n v="0"/>
    <n v="0"/>
    <n v="0"/>
    <n v="0"/>
    <n v="0"/>
    <n v="0"/>
    <n v="0"/>
    <n v="0"/>
    <n v="0"/>
    <n v="0"/>
    <n v="900"/>
    <n v="588600"/>
    <n v="654"/>
    <n v="0"/>
    <n v="0"/>
    <n v="0"/>
    <n v="0"/>
    <n v="0"/>
    <n v="0"/>
  </r>
  <r>
    <x v="1"/>
    <s v="DIEGO FERNANDO ECHEVERRI"/>
    <s v="SEEDPACK"/>
    <x v="111"/>
    <x v="111"/>
    <n v="3100"/>
    <n v="1370200"/>
    <n v="0"/>
    <n v="0"/>
    <n v="3100"/>
    <n v="1370200"/>
    <n v="3100"/>
    <n v="1370200"/>
    <n v="3100"/>
    <n v="1370200"/>
    <n v="1373"/>
    <n v="606803"/>
    <n v="2295"/>
    <n v="1014600"/>
    <n v="442.09150326797385"/>
    <n v="3100"/>
    <n v="1370483.660130719"/>
    <n v="3100"/>
    <n v="1370483.660130719"/>
    <n v="3100"/>
    <n v="1370483.660130719"/>
  </r>
  <r>
    <x v="1"/>
    <s v="EL CORREO TESORO SAS"/>
    <s v="SEEDPACK"/>
    <x v="122"/>
    <x v="122"/>
    <n v="0"/>
    <n v="0"/>
    <n v="0"/>
    <n v="0"/>
    <n v="0"/>
    <n v="0"/>
    <n v="300"/>
    <n v="223800"/>
    <n v="0"/>
    <n v="0"/>
    <n v="0"/>
    <n v="0"/>
    <n v="50"/>
    <n v="37300"/>
    <n v="746"/>
    <n v="0"/>
    <n v="0"/>
    <n v="0"/>
    <n v="0"/>
    <n v="0"/>
    <n v="0"/>
  </r>
  <r>
    <x v="1"/>
    <s v="EL CORREO TESORO SAS"/>
    <s v="SEEDPACK"/>
    <x v="324"/>
    <x v="323"/>
    <n v="300"/>
    <n v="263400"/>
    <n v="600"/>
    <n v="526800"/>
    <n v="0"/>
    <n v="0"/>
    <n v="0"/>
    <n v="0"/>
    <n v="450"/>
    <n v="395100"/>
    <n v="0"/>
    <n v="0"/>
    <n v="225"/>
    <n v="197550"/>
    <n v="878"/>
    <n v="300"/>
    <n v="263400"/>
    <n v="300"/>
    <n v="263400"/>
    <n v="300"/>
    <n v="263400"/>
  </r>
  <r>
    <x v="1"/>
    <s v="EL CORREO TESORO SAS"/>
    <s v="SEEDPACK"/>
    <x v="325"/>
    <x v="324"/>
    <n v="200"/>
    <n v="221200"/>
    <n v="500"/>
    <n v="553000"/>
    <n v="0"/>
    <n v="0"/>
    <n v="300"/>
    <n v="331800"/>
    <n v="200"/>
    <n v="221200"/>
    <n v="0"/>
    <n v="0"/>
    <n v="200"/>
    <n v="221200"/>
    <n v="1106"/>
    <n v="300"/>
    <n v="331800"/>
    <n v="300"/>
    <n v="331800"/>
    <n v="300"/>
    <n v="331800"/>
  </r>
  <r>
    <x v="1"/>
    <s v="ELMER GUSTAVO VARELA PIEDRAHITA"/>
    <s v="SEEDPACK"/>
    <x v="273"/>
    <x v="272"/>
    <n v="800"/>
    <n v="396800"/>
    <n v="0"/>
    <n v="0"/>
    <n v="0"/>
    <n v="0"/>
    <n v="0"/>
    <n v="0"/>
    <n v="0"/>
    <n v="0"/>
    <n v="0"/>
    <n v="0"/>
    <n v="133"/>
    <n v="66133"/>
    <n v="497.24060150375942"/>
    <n v="0"/>
    <n v="0"/>
    <n v="0"/>
    <n v="0"/>
    <n v="0"/>
    <n v="0"/>
  </r>
  <r>
    <x v="1"/>
    <s v="INVERSIONES SUPERVAQUITA LA 33 S.A.S"/>
    <s v="SEEDPACK"/>
    <x v="135"/>
    <x v="135"/>
    <n v="0"/>
    <n v="0"/>
    <n v="0"/>
    <n v="0"/>
    <n v="0"/>
    <n v="0"/>
    <n v="2640"/>
    <n v="844800"/>
    <n v="0"/>
    <n v="0"/>
    <n v="0"/>
    <n v="0"/>
    <n v="440"/>
    <n v="140800"/>
    <n v="320"/>
    <n v="0"/>
    <n v="0"/>
    <n v="0"/>
    <n v="0"/>
    <n v="0"/>
    <n v="0"/>
  </r>
  <r>
    <x v="1"/>
    <s v="INVERSIONES SUPERVAQUITA LA 33 S.A.S"/>
    <s v="SEEDPACK"/>
    <x v="136"/>
    <x v="136"/>
    <n v="0"/>
    <n v="0"/>
    <n v="6500"/>
    <n v="2080000"/>
    <n v="13000"/>
    <n v="4160000"/>
    <n v="0"/>
    <n v="0"/>
    <n v="0"/>
    <n v="0"/>
    <n v="0"/>
    <n v="0"/>
    <n v="3250"/>
    <n v="1040000"/>
    <n v="320"/>
    <n v="9000"/>
    <n v="2880000"/>
    <n v="9000"/>
    <n v="2880000"/>
    <n v="9000"/>
    <n v="2880000"/>
  </r>
  <r>
    <x v="1"/>
    <s v="INVERSIONES SUPERVAQUITA LA 33 S.A.S"/>
    <s v="SEEDPACK"/>
    <x v="114"/>
    <x v="114"/>
    <n v="0"/>
    <n v="0"/>
    <n v="0"/>
    <n v="0"/>
    <n v="0"/>
    <n v="0"/>
    <n v="10400"/>
    <n v="3328000"/>
    <n v="9600"/>
    <n v="3225600"/>
    <n v="0"/>
    <n v="0"/>
    <n v="3333"/>
    <n v="1092267"/>
    <n v="327.71287128712873"/>
    <m/>
    <n v="0"/>
    <m/>
    <n v="0"/>
    <n v="0"/>
    <n v="0"/>
  </r>
  <r>
    <x v="1"/>
    <s v="JOSE FELIX ESCOBAR H Y CIA LTDA"/>
    <s v="SEEDPACK"/>
    <x v="94"/>
    <x v="94"/>
    <n v="80000"/>
    <n v="6320000"/>
    <n v="8000"/>
    <n v="632000"/>
    <n v="48000"/>
    <n v="3792000"/>
    <n v="40000"/>
    <n v="3160000"/>
    <n v="40000"/>
    <n v="3160000"/>
    <n v="29524"/>
    <n v="2332381"/>
    <n v="40921"/>
    <n v="3232730"/>
    <n v="78.999291317416478"/>
    <n v="40000"/>
    <n v="3159971.6526966593"/>
    <n v="40000"/>
    <n v="3159971.6526966593"/>
    <n v="40000"/>
    <n v="3159971.6526966593"/>
  </r>
  <r>
    <x v="1"/>
    <s v="JOSE FELIX ESCOBAR H Y CIA LTDA"/>
    <s v="SEEDPACK"/>
    <x v="165"/>
    <x v="165"/>
    <n v="12960"/>
    <n v="3291840"/>
    <n v="21600"/>
    <n v="5486400"/>
    <n v="19440"/>
    <n v="4937760"/>
    <n v="6480"/>
    <n v="1645920"/>
    <n v="0"/>
    <n v="0"/>
    <n v="0"/>
    <n v="0"/>
    <n v="10080"/>
    <n v="2560320"/>
    <n v="254"/>
    <n v="10000"/>
    <n v="2540000"/>
    <n v="10000"/>
    <n v="2540000"/>
    <n v="10000"/>
    <n v="2540000"/>
  </r>
  <r>
    <x v="1"/>
    <s v="JOSE FELIX ESCOBAR H Y CIA LTDA"/>
    <s v="SEEDPACK"/>
    <x v="326"/>
    <x v="325"/>
    <n v="4320"/>
    <n v="1097280"/>
    <n v="0"/>
    <n v="0"/>
    <n v="0"/>
    <n v="0"/>
    <n v="0"/>
    <n v="0"/>
    <n v="0"/>
    <n v="0"/>
    <n v="0"/>
    <n v="0"/>
    <n v="720"/>
    <n v="182880"/>
    <n v="254"/>
    <n v="0"/>
    <n v="0"/>
    <n v="0"/>
    <n v="0"/>
    <n v="0"/>
    <n v="0"/>
  </r>
  <r>
    <x v="1"/>
    <s v="JOSE FELIX ESCOBAR H Y CIA LTDA"/>
    <s v="SEEDPACK"/>
    <x v="327"/>
    <x v="326"/>
    <n v="7040"/>
    <n v="2879360"/>
    <n v="7680"/>
    <n v="3141120"/>
    <n v="5760"/>
    <n v="2355840"/>
    <n v="5120"/>
    <n v="2094080"/>
    <n v="5120"/>
    <n v="2094080"/>
    <n v="4724"/>
    <n v="1932038"/>
    <n v="5907"/>
    <n v="2416086"/>
    <n v="409.02082275266633"/>
    <n v="6400"/>
    <n v="2617733.2656170647"/>
    <n v="6400"/>
    <n v="2617733.2656170647"/>
    <n v="6400"/>
    <n v="2617733.2656170647"/>
  </r>
  <r>
    <x v="1"/>
    <s v="JOSE FELIX ESCOBAR H Y CIA LTDA"/>
    <s v="SEEDPACK"/>
    <x v="112"/>
    <x v="112"/>
    <n v="1920"/>
    <n v="785280"/>
    <n v="1280"/>
    <n v="523520"/>
    <n v="0"/>
    <n v="0"/>
    <n v="0"/>
    <n v="0"/>
    <n v="0"/>
    <n v="0"/>
    <n v="0"/>
    <n v="0"/>
    <n v="533"/>
    <n v="218133"/>
    <n v="409.25515947467164"/>
    <n v="0"/>
    <n v="0"/>
    <n v="0"/>
    <n v="0"/>
    <n v="0"/>
    <n v="0"/>
  </r>
  <r>
    <x v="1"/>
    <s v="JOSE FELIX ESCOBAR H Y CIA LTDA"/>
    <s v="SEEDPACK"/>
    <x v="153"/>
    <x v="153"/>
    <n v="0"/>
    <n v="0"/>
    <n v="0"/>
    <n v="0"/>
    <n v="0"/>
    <n v="0"/>
    <n v="0"/>
    <n v="0"/>
    <n v="15120"/>
    <n v="3840480"/>
    <n v="9566"/>
    <n v="2429691"/>
    <n v="4114"/>
    <n v="1045029"/>
    <n v="254.01774428779777"/>
    <n v="0"/>
    <n v="0"/>
    <n v="0"/>
    <n v="0"/>
    <n v="0"/>
    <n v="0"/>
  </r>
  <r>
    <x v="1"/>
    <s v="JOSE FELIX ESCOBAR H Y CIA LTDA"/>
    <s v="SEEDPACK"/>
    <x v="166"/>
    <x v="166"/>
    <n v="3600"/>
    <n v="1803600"/>
    <n v="0"/>
    <n v="0"/>
    <n v="3000"/>
    <n v="1503000"/>
    <n v="11400"/>
    <n v="5711400"/>
    <n v="0"/>
    <n v="0"/>
    <n v="0"/>
    <n v="0"/>
    <n v="3000"/>
    <n v="1503000"/>
    <n v="501"/>
    <n v="3000"/>
    <n v="1503000"/>
    <n v="3000"/>
    <n v="1503000"/>
    <n v="3000"/>
    <n v="1503000"/>
  </r>
  <r>
    <x v="1"/>
    <s v="JOSE FELIX ESCOBAR H Y CIA LTDA"/>
    <s v="SEEDPACK"/>
    <x v="113"/>
    <x v="113"/>
    <n v="8640"/>
    <n v="3775680"/>
    <n v="0"/>
    <n v="0"/>
    <n v="6480"/>
    <n v="2831760"/>
    <n v="2160"/>
    <n v="943920"/>
    <n v="0"/>
    <n v="0"/>
    <n v="9566"/>
    <n v="4180217"/>
    <n v="4474"/>
    <n v="1955263"/>
    <n v="437.02793920429144"/>
    <n v="4000"/>
    <n v="1748111.7568171658"/>
    <n v="4000"/>
    <n v="1748111.7568171658"/>
    <n v="4000"/>
    <n v="1748111.7568171658"/>
  </r>
  <r>
    <x v="1"/>
    <s v="JOSE FELIX ESCOBAR H Y CIA LTDA"/>
    <s v="SEEDPACK"/>
    <x v="123"/>
    <x v="123"/>
    <n v="1000"/>
    <n v="577000"/>
    <n v="0"/>
    <n v="0"/>
    <n v="500"/>
    <n v="288500"/>
    <n v="2500"/>
    <n v="1442500"/>
    <n v="0"/>
    <n v="0"/>
    <n v="0"/>
    <n v="0"/>
    <n v="667"/>
    <n v="384667"/>
    <n v="576.71214392803597"/>
    <n v="1000"/>
    <n v="576712.14392803598"/>
    <n v="1000"/>
    <n v="576712.14392803598"/>
    <n v="1000"/>
    <n v="576712.14392803598"/>
  </r>
  <r>
    <x v="1"/>
    <s v="JOSE FELIX ESCOBAR H Y CIA LTDA"/>
    <s v="SEEDPACK"/>
    <x v="184"/>
    <x v="184"/>
    <n v="1320"/>
    <n v="720720"/>
    <n v="3960"/>
    <n v="2162160"/>
    <n v="0"/>
    <n v="0"/>
    <n v="1320"/>
    <n v="720720"/>
    <n v="0"/>
    <n v="0"/>
    <n v="0"/>
    <n v="0"/>
    <n v="1100"/>
    <n v="600600"/>
    <n v="546"/>
    <n v="1430"/>
    <n v="780780"/>
    <n v="1430"/>
    <n v="780780"/>
    <n v="1430"/>
    <n v="780780"/>
  </r>
  <r>
    <x v="1"/>
    <s v="JOSE FELIX ESCOBAR H Y CIA LTDA"/>
    <s v="SEEDPACK"/>
    <x v="120"/>
    <x v="120"/>
    <n v="0"/>
    <n v="0"/>
    <n v="0"/>
    <n v="0"/>
    <n v="0"/>
    <n v="0"/>
    <n v="3300"/>
    <n v="2527800"/>
    <n v="0"/>
    <n v="0"/>
    <n v="0"/>
    <n v="0"/>
    <n v="550"/>
    <n v="421300"/>
    <n v="766"/>
    <n v="900"/>
    <n v="689400"/>
    <n v="900"/>
    <n v="689400"/>
    <n v="900"/>
    <n v="689400"/>
  </r>
  <r>
    <x v="1"/>
    <s v="JOSE FELIX ESCOBAR H Y CIA LTDA"/>
    <s v="SEEDPACK"/>
    <x v="95"/>
    <x v="95"/>
    <n v="500"/>
    <n v="558000"/>
    <n v="200"/>
    <n v="223200"/>
    <n v="300"/>
    <n v="334800"/>
    <n v="0"/>
    <n v="0"/>
    <n v="0"/>
    <n v="0"/>
    <n v="0"/>
    <n v="0"/>
    <n v="167"/>
    <n v="186000"/>
    <n v="1113.7724550898204"/>
    <n v="200"/>
    <n v="222754.49101796409"/>
    <n v="200"/>
    <n v="222754.49101796409"/>
    <n v="200"/>
    <n v="222754.49101796409"/>
  </r>
  <r>
    <x v="1"/>
    <s v="JOSE FELIX ESCOBAR H Y CIA LTDA"/>
    <s v="SEEDPACK"/>
    <x v="96"/>
    <x v="96"/>
    <n v="1500"/>
    <n v="2103000"/>
    <n v="0"/>
    <n v="0"/>
    <n v="500"/>
    <n v="701000"/>
    <n v="0"/>
    <n v="0"/>
    <n v="0"/>
    <n v="0"/>
    <n v="0"/>
    <n v="0"/>
    <n v="333"/>
    <n v="467333"/>
    <n v="1403.4024024024025"/>
    <n v="400"/>
    <n v="561360.96096096095"/>
    <n v="400"/>
    <n v="561360.96096096095"/>
    <n v="400"/>
    <n v="561360.96096096095"/>
  </r>
  <r>
    <x v="1"/>
    <s v="JOSE FELIX ESCOBAR H Y CIA LTDA"/>
    <s v="SEEDPACK"/>
    <x v="270"/>
    <x v="269"/>
    <n v="320"/>
    <n v="315520"/>
    <n v="0"/>
    <n v="0"/>
    <n v="0"/>
    <n v="0"/>
    <n v="0"/>
    <n v="0"/>
    <n v="0"/>
    <n v="0"/>
    <n v="0"/>
    <n v="0"/>
    <n v="53"/>
    <n v="52587"/>
    <n v="992.20754716981128"/>
    <n v="0"/>
    <n v="0"/>
    <n v="0"/>
    <n v="0"/>
    <n v="0"/>
    <n v="0"/>
  </r>
  <r>
    <x v="1"/>
    <s v="JOSE FELIX ESCOBAR H Y CIA LTDA"/>
    <s v="SEEDPACK"/>
    <x v="122"/>
    <x v="122"/>
    <n v="3900"/>
    <n v="2737800"/>
    <n v="3450"/>
    <n v="2421900"/>
    <n v="4800"/>
    <n v="3369600"/>
    <n v="3000"/>
    <n v="2106000"/>
    <n v="4500"/>
    <n v="3159000"/>
    <n v="2214"/>
    <n v="1554429"/>
    <n v="3644"/>
    <n v="2558121"/>
    <n v="702.00905598243685"/>
    <n v="5000"/>
    <n v="3510045.2799121845"/>
    <n v="5000"/>
    <n v="3510045.2799121845"/>
    <n v="5000"/>
    <n v="3510045.2799121845"/>
  </r>
  <r>
    <x v="1"/>
    <s v="JOSE FELIX ESCOBAR H Y CIA LTDA"/>
    <s v="SEEDPACK"/>
    <x v="98"/>
    <x v="98"/>
    <n v="5700"/>
    <n v="5466300"/>
    <n v="3600"/>
    <n v="3452400"/>
    <n v="2900"/>
    <n v="2781100"/>
    <n v="4500"/>
    <n v="4315500"/>
    <n v="4000"/>
    <n v="3836000"/>
    <n v="7381"/>
    <n v="7078333"/>
    <n v="4680"/>
    <n v="4488272"/>
    <n v="959.03247863247861"/>
    <n v="6084"/>
    <n v="5834753.5999999996"/>
    <n v="6084"/>
    <n v="5834753.5999999996"/>
    <n v="6084"/>
    <n v="5834753.5999999996"/>
  </r>
  <r>
    <x v="1"/>
    <s v="JOSE FELIX ESCOBAR H Y CIA LTDA"/>
    <s v="SEEDPACK"/>
    <x v="99"/>
    <x v="99"/>
    <n v="0"/>
    <n v="0"/>
    <n v="600"/>
    <n v="970200"/>
    <n v="200"/>
    <n v="323400"/>
    <n v="0"/>
    <n v="0"/>
    <n v="0"/>
    <n v="0"/>
    <n v="295"/>
    <n v="477400"/>
    <n v="183"/>
    <n v="295167"/>
    <n v="1612.9344262295083"/>
    <n v="237"/>
    <n v="382265.45901639346"/>
    <n v="237"/>
    <n v="382265.45901639346"/>
    <n v="237"/>
    <n v="382265.45901639346"/>
  </r>
  <r>
    <x v="1"/>
    <s v="JOSE FELIX ESCOBAR H Y CIA LTDA"/>
    <s v="SEEDPACK"/>
    <x v="100"/>
    <x v="100"/>
    <n v="0"/>
    <n v="0"/>
    <n v="0"/>
    <n v="0"/>
    <n v="0"/>
    <n v="0"/>
    <n v="0"/>
    <n v="0"/>
    <n v="0"/>
    <n v="0"/>
    <n v="738"/>
    <n v="762452"/>
    <n v="123"/>
    <n v="127075"/>
    <n v="1033.1300813008131"/>
    <n v="400"/>
    <n v="413252.03252032527"/>
    <n v="400"/>
    <n v="413252.03252032527"/>
    <n v="400"/>
    <n v="413252.03252032527"/>
  </r>
  <r>
    <x v="1"/>
    <s v="JOSE FELIX ESCOBAR H Y CIA LTDA"/>
    <s v="SEEDPACK"/>
    <x v="131"/>
    <x v="131"/>
    <n v="1000"/>
    <n v="1363000"/>
    <n v="800"/>
    <n v="1090400"/>
    <n v="1100"/>
    <n v="1499300"/>
    <n v="500"/>
    <n v="681500"/>
    <n v="1500"/>
    <n v="2044500"/>
    <n v="0"/>
    <n v="0"/>
    <n v="817"/>
    <n v="1113117"/>
    <n v="1362.4443084455324"/>
    <n v="1200"/>
    <n v="1634933.1701346389"/>
    <n v="1200"/>
    <n v="1634933.1701346389"/>
    <n v="1200"/>
    <n v="1634933.1701346389"/>
  </r>
  <r>
    <x v="1"/>
    <s v="JOSE FELIX ESCOBAR H Y CIA LTDA"/>
    <s v="SEEDPACK"/>
    <x v="118"/>
    <x v="118"/>
    <n v="0"/>
    <n v="0"/>
    <n v="4800"/>
    <n v="1800000"/>
    <n v="0"/>
    <n v="0"/>
    <n v="3000"/>
    <n v="1125000"/>
    <n v="1800"/>
    <n v="675000"/>
    <n v="4429"/>
    <n v="1660714"/>
    <n v="2338"/>
    <n v="876786"/>
    <n v="375.01539777587681"/>
    <n v="3040"/>
    <n v="1140046.8092386655"/>
    <n v="3040"/>
    <n v="1140046.8092386655"/>
    <n v="3040"/>
    <n v="1140046.8092386655"/>
  </r>
  <r>
    <x v="1"/>
    <s v="JOSE FELIX ESCOBAR H Y CIA LTDA"/>
    <s v="SEEDPACK"/>
    <x v="101"/>
    <x v="101"/>
    <n v="1350"/>
    <n v="1271700"/>
    <n v="0"/>
    <n v="0"/>
    <n v="0"/>
    <n v="0"/>
    <n v="0"/>
    <n v="0"/>
    <n v="0"/>
    <n v="0"/>
    <n v="664"/>
    <n v="625757"/>
    <n v="336"/>
    <n v="316243"/>
    <n v="941.19940476190482"/>
    <n v="436"/>
    <n v="410362.94047619047"/>
    <n v="436"/>
    <n v="410362.94047619047"/>
    <n v="436"/>
    <n v="410362.94047619047"/>
  </r>
  <r>
    <x v="1"/>
    <s v="JOSE FELIX ESCOBAR H Y CIA LTDA"/>
    <s v="SEEDPACK"/>
    <x v="102"/>
    <x v="102"/>
    <n v="5400"/>
    <n v="2494800"/>
    <n v="1440"/>
    <n v="665280"/>
    <n v="2880"/>
    <n v="1330560"/>
    <n v="1080"/>
    <n v="498960"/>
    <n v="3240"/>
    <n v="1496880"/>
    <n v="0"/>
    <n v="0"/>
    <n v="2340"/>
    <n v="1081080"/>
    <n v="462"/>
    <n v="3042"/>
    <n v="1405404"/>
    <n v="3042"/>
    <n v="1405404"/>
    <n v="3042"/>
    <n v="1405404"/>
  </r>
  <r>
    <x v="1"/>
    <s v="JOSE FELIX ESCOBAR H Y CIA LTDA"/>
    <s v="SEEDPACK"/>
    <x v="103"/>
    <x v="103"/>
    <n v="810"/>
    <n v="459270"/>
    <n v="1350"/>
    <n v="765450"/>
    <n v="1080"/>
    <n v="612360"/>
    <n v="0"/>
    <n v="0"/>
    <n v="1620"/>
    <n v="918540"/>
    <n v="3587"/>
    <n v="2033910"/>
    <n v="1408"/>
    <n v="798255"/>
    <n v="566.94247159090912"/>
    <n v="1830"/>
    <n v="1037504.7230113636"/>
    <n v="1830"/>
    <n v="1037504.7230113636"/>
    <n v="1830"/>
    <n v="1037504.7230113636"/>
  </r>
  <r>
    <x v="1"/>
    <s v="JOSE FELIX ESCOBAR H Y CIA LTDA"/>
    <s v="SEEDPACK"/>
    <x v="104"/>
    <x v="104"/>
    <n v="6090"/>
    <n v="3873240"/>
    <n v="2730"/>
    <n v="1736280"/>
    <n v="840"/>
    <n v="534240"/>
    <n v="630"/>
    <n v="400680"/>
    <n v="2100"/>
    <n v="1335600"/>
    <n v="1550"/>
    <n v="985800"/>
    <n v="2323"/>
    <n v="1477640"/>
    <n v="636.09126130004302"/>
    <n v="3020"/>
    <n v="1920995.6091261299"/>
    <n v="3020"/>
    <n v="1920995.6091261299"/>
    <n v="3020"/>
    <n v="1920995.6091261299"/>
  </r>
  <r>
    <x v="1"/>
    <s v="JOSE FELIX ESCOBAR H Y CIA LTDA"/>
    <s v="Salseros"/>
    <x v="108"/>
    <x v="108"/>
    <n v="45000"/>
    <n v="1480500"/>
    <n v="30000"/>
    <n v="987000"/>
    <n v="40000"/>
    <n v="1316000"/>
    <n v="50000"/>
    <n v="1645000"/>
    <n v="65000"/>
    <n v="2138500"/>
    <n v="36905"/>
    <n v="1214167"/>
    <n v="44484"/>
    <n v="1463528"/>
    <n v="32.90009891196835"/>
    <n v="0"/>
    <n v="0"/>
    <n v="0"/>
    <n v="0"/>
    <n v="100000"/>
    <n v="3290009.8911968349"/>
  </r>
  <r>
    <x v="1"/>
    <s v="JOSE FELIX ESCOBAR H Y CIA LTDA"/>
    <s v="Salseros"/>
    <x v="132"/>
    <x v="132"/>
    <n v="0"/>
    <n v="0"/>
    <n v="0"/>
    <n v="0"/>
    <n v="0"/>
    <n v="0"/>
    <n v="50000"/>
    <n v="2720000"/>
    <n v="0"/>
    <n v="0"/>
    <n v="0"/>
    <n v="0"/>
    <n v="8333"/>
    <n v="453333"/>
    <n v="54.402136085443416"/>
    <n v="10833"/>
    <n v="589338.34021360858"/>
    <n v="10833"/>
    <n v="589338.34021360858"/>
    <n v="10833"/>
    <n v="589338.34021360858"/>
  </r>
  <r>
    <x v="1"/>
    <s v="LA MIGUERIA SAS"/>
    <s v="Plegadizas"/>
    <x v="328"/>
    <x v="327"/>
    <n v="24000"/>
    <n v="13560000"/>
    <n v="20000"/>
    <n v="11300000"/>
    <n v="22000"/>
    <n v="12430000"/>
    <n v="27500"/>
    <n v="15537500"/>
    <n v="18500"/>
    <n v="10452500"/>
    <n v="26571"/>
    <n v="15012857"/>
    <n v="23095"/>
    <n v="13048810"/>
    <n v="565.00584542108686"/>
    <n v="30024"/>
    <n v="16963735.502922714"/>
    <n v="30024"/>
    <n v="16963735.502922714"/>
    <n v="30024"/>
    <n v="16963735.502922714"/>
  </r>
  <r>
    <x v="1"/>
    <s v="LA MIGUERIA SAS"/>
    <s v="Plegadizas"/>
    <x v="329"/>
    <x v="328"/>
    <n v="1500"/>
    <n v="1906500"/>
    <n v="6100"/>
    <n v="7753100"/>
    <n v="5900"/>
    <n v="7498900"/>
    <n v="6400"/>
    <n v="8134400"/>
    <n v="4400"/>
    <n v="5592400"/>
    <n v="590"/>
    <n v="750495"/>
    <n v="4148"/>
    <n v="5272633"/>
    <n v="1271.1265670202508"/>
    <n v="5393"/>
    <n v="6855185.5759402132"/>
    <n v="5393"/>
    <n v="6855185.5759402132"/>
    <n v="5393"/>
    <n v="6855185.5759402132"/>
  </r>
  <r>
    <x v="1"/>
    <s v="LA MIGUERIA SAS"/>
    <s v="Plegadizas"/>
    <x v="330"/>
    <x v="329"/>
    <n v="3200"/>
    <n v="4963200"/>
    <n v="13800"/>
    <n v="21403800"/>
    <n v="14800"/>
    <n v="22954800"/>
    <n v="17800"/>
    <n v="27607800"/>
    <n v="10500"/>
    <n v="16285500"/>
    <n v="2214"/>
    <n v="3434357"/>
    <n v="10386"/>
    <n v="16108243"/>
    <n v="1550.9573464278837"/>
    <n v="13501"/>
    <n v="20939475.13412286"/>
    <n v="13501"/>
    <n v="20939475.13412286"/>
    <n v="13501"/>
    <n v="20939475.13412286"/>
  </r>
  <r>
    <x v="1"/>
    <s v="LA MIGUERIA SAS"/>
    <s v="Plegadizas"/>
    <x v="331"/>
    <x v="330"/>
    <n v="4100"/>
    <n v="7658800"/>
    <n v="4100"/>
    <n v="7658800"/>
    <n v="4100"/>
    <n v="7658800"/>
    <n v="5000"/>
    <n v="9340000"/>
    <n v="3500"/>
    <n v="6538000"/>
    <n v="1771"/>
    <n v="3309029"/>
    <n v="3762"/>
    <n v="7027238"/>
    <n v="1867.9526847421585"/>
    <n v="4890"/>
    <n v="9134288.6283891555"/>
    <n v="4890"/>
    <n v="9134288.6283891555"/>
    <n v="4890"/>
    <n v="9134288.6283891555"/>
  </r>
  <r>
    <x v="1"/>
    <s v="LA MIGUERIA SAS"/>
    <s v="SEEDPACK"/>
    <x v="118"/>
    <x v="118"/>
    <n v="1800"/>
    <n v="592200"/>
    <n v="1200"/>
    <n v="394800"/>
    <n v="900"/>
    <n v="296100"/>
    <n v="2100"/>
    <n v="690900"/>
    <n v="900"/>
    <n v="296100"/>
    <n v="1771"/>
    <n v="582800"/>
    <n v="1445"/>
    <n v="475483"/>
    <n v="329.05397923875432"/>
    <n v="1879"/>
    <n v="618292.42698961939"/>
    <n v="1879"/>
    <n v="618292.42698961939"/>
    <n v="1879"/>
    <n v="618292.42698961939"/>
  </r>
  <r>
    <x v="1"/>
    <s v="LA MIGUERIA SAS"/>
    <s v="SEEDPACK"/>
    <x v="119"/>
    <x v="119"/>
    <n v="720"/>
    <n v="339120"/>
    <n v="540"/>
    <n v="254340"/>
    <n v="540"/>
    <n v="254340"/>
    <n v="1080"/>
    <n v="508680"/>
    <n v="540"/>
    <n v="254340"/>
    <n v="797"/>
    <n v="375454"/>
    <n v="703"/>
    <n v="331046"/>
    <n v="470.90469416785209"/>
    <n v="914"/>
    <n v="430406.8904694168"/>
    <n v="914"/>
    <n v="430406.8904694168"/>
    <n v="914"/>
    <n v="430406.8904694168"/>
  </r>
  <r>
    <x v="1"/>
    <s v="LAUPA SAS"/>
    <s v="SEEDPACK"/>
    <x v="324"/>
    <x v="323"/>
    <n v="0"/>
    <n v="0"/>
    <n v="300"/>
    <n v="263400"/>
    <n v="300"/>
    <n v="263400"/>
    <n v="150"/>
    <n v="131700"/>
    <n v="300"/>
    <n v="263400"/>
    <n v="0"/>
    <n v="0"/>
    <n v="175"/>
    <n v="153650"/>
    <n v="878"/>
    <n v="228"/>
    <n v="200184"/>
    <n v="228"/>
    <n v="200184"/>
    <n v="228"/>
    <n v="200184"/>
  </r>
  <r>
    <x v="1"/>
    <s v="LAUPA SAS"/>
    <s v="SEEDPACK"/>
    <x v="325"/>
    <x v="324"/>
    <n v="300"/>
    <n v="331800"/>
    <n v="0"/>
    <n v="0"/>
    <n v="200"/>
    <n v="221200"/>
    <n v="200"/>
    <n v="221200"/>
    <n v="200"/>
    <n v="221200"/>
    <n v="0"/>
    <n v="0"/>
    <n v="150"/>
    <n v="165900"/>
    <n v="1106"/>
    <n v="195"/>
    <n v="215670"/>
    <n v="195"/>
    <n v="215670"/>
    <n v="195"/>
    <n v="215670"/>
  </r>
  <r>
    <x v="1"/>
    <s v="NEGOCIOS EL CORREO S.A.S"/>
    <s v="SEEDPACK"/>
    <x v="324"/>
    <x v="323"/>
    <n v="1050"/>
    <n v="921900"/>
    <n v="750"/>
    <n v="658500"/>
    <n v="600"/>
    <n v="526800"/>
    <n v="600"/>
    <n v="526800"/>
    <n v="450"/>
    <n v="395100"/>
    <n v="664"/>
    <n v="621107"/>
    <n v="686"/>
    <n v="608368"/>
    <n v="886.8338192419825"/>
    <n v="891"/>
    <n v="790168.93294460641"/>
    <n v="891"/>
    <n v="790168.93294460641"/>
    <n v="891"/>
    <n v="790168.93294460641"/>
  </r>
  <r>
    <x v="1"/>
    <s v="NEGOCIOS EL CORREO S.A.S"/>
    <s v="SEEDPACK"/>
    <x v="325"/>
    <x v="324"/>
    <n v="1200"/>
    <n v="1327200"/>
    <n v="400"/>
    <n v="442400"/>
    <n v="400"/>
    <n v="442400"/>
    <n v="400"/>
    <n v="442400"/>
    <n v="300"/>
    <n v="331800"/>
    <n v="443"/>
    <n v="521243"/>
    <n v="524"/>
    <n v="584574"/>
    <n v="1115.5992366412213"/>
    <n v="681"/>
    <n v="759723.08015267167"/>
    <n v="681"/>
    <n v="759723.08015267167"/>
    <n v="681"/>
    <n v="759723.08015267167"/>
  </r>
  <r>
    <x v="1"/>
    <s v="PAAK SAS"/>
    <s v="Salseros"/>
    <x v="108"/>
    <x v="108"/>
    <n v="50000"/>
    <n v="1785000"/>
    <n v="0"/>
    <n v="0"/>
    <n v="50000"/>
    <n v="1785000"/>
    <n v="50000"/>
    <n v="1785000"/>
    <n v="70000"/>
    <n v="2499000"/>
    <n v="103333"/>
    <n v="3689000"/>
    <n v="53889"/>
    <n v="1923833"/>
    <n v="35.699920206350093"/>
    <n v="70056"/>
    <n v="2500993.6099760621"/>
    <n v="70056"/>
    <n v="2500993.6099760621"/>
    <n v="70056"/>
    <n v="2500993.6099760621"/>
  </r>
  <r>
    <x v="1"/>
    <s v="PASCUAL SAS"/>
    <s v="SEEDPACK"/>
    <x v="122"/>
    <x v="122"/>
    <n v="300"/>
    <n v="223800"/>
    <n v="0"/>
    <n v="0"/>
    <n v="150"/>
    <n v="111900"/>
    <n v="0"/>
    <n v="0"/>
    <n v="0"/>
    <n v="0"/>
    <n v="0"/>
    <n v="0"/>
    <n v="75"/>
    <n v="55950"/>
    <n v="746"/>
    <n v="0"/>
    <n v="0"/>
    <n v="0"/>
    <n v="0"/>
    <n v="0"/>
    <n v="0"/>
  </r>
  <r>
    <x v="1"/>
    <s v="PASCUAL SAS"/>
    <s v="SEEDPACK"/>
    <x v="324"/>
    <x v="323"/>
    <n v="300"/>
    <n v="263400"/>
    <n v="600"/>
    <n v="526800"/>
    <n v="150"/>
    <n v="131700"/>
    <n v="150"/>
    <n v="131700"/>
    <n v="600"/>
    <n v="526800"/>
    <n v="221"/>
    <n v="207036"/>
    <n v="337"/>
    <n v="297906"/>
    <n v="883.99406528189911"/>
    <n v="438"/>
    <n v="387189.40059347183"/>
    <n v="438"/>
    <n v="387189.40059347183"/>
    <n v="438"/>
    <n v="387189.40059347183"/>
  </r>
  <r>
    <x v="1"/>
    <s v="PASCUAL SAS"/>
    <s v="SEEDPACK"/>
    <x v="325"/>
    <x v="324"/>
    <n v="700"/>
    <n v="774200"/>
    <n v="800"/>
    <n v="884800"/>
    <n v="400"/>
    <n v="442400"/>
    <n v="400"/>
    <n v="442400"/>
    <n v="600"/>
    <n v="663600"/>
    <n v="295"/>
    <n v="347495"/>
    <n v="533"/>
    <n v="592483"/>
    <n v="1111.6003752345216"/>
    <n v="692"/>
    <n v="769227.45966228901"/>
    <n v="692"/>
    <n v="769227.45966228901"/>
    <n v="692"/>
    <n v="769227.45966228901"/>
  </r>
  <r>
    <x v="1"/>
    <s v="PIZZA JOINT SAS"/>
    <s v="SEEDPACK"/>
    <x v="98"/>
    <x v="98"/>
    <n v="0"/>
    <n v="0"/>
    <n v="1200"/>
    <n v="1329600"/>
    <n v="0"/>
    <n v="0"/>
    <n v="1200"/>
    <n v="1329600"/>
    <n v="0"/>
    <n v="0"/>
    <n v="886"/>
    <n v="1049571"/>
    <n v="548"/>
    <n v="618129"/>
    <n v="1127.9726277372263"/>
    <n v="712"/>
    <n v="803116.51094890514"/>
    <n v="712"/>
    <n v="803116.51094890514"/>
    <n v="712"/>
    <n v="803116.51094890514"/>
  </r>
  <r>
    <x v="1"/>
    <s v="PRODUCTOS ALIMENTICIOS EL PILON SAS"/>
    <s v="SEEDPACK"/>
    <x v="332"/>
    <x v="331"/>
    <n v="7800"/>
    <n v="1840800"/>
    <n v="0"/>
    <n v="0"/>
    <n v="0"/>
    <n v="0"/>
    <n v="0"/>
    <n v="0"/>
    <n v="0"/>
    <n v="0"/>
    <n v="0"/>
    <n v="0"/>
    <n v="1300"/>
    <n v="306800"/>
    <n v="236"/>
    <n v="1690"/>
    <n v="398840"/>
    <n v="1690"/>
    <n v="398840"/>
    <n v="1690"/>
    <n v="398840"/>
  </r>
  <r>
    <x v="1"/>
    <s v="SAN MARZANO SAS"/>
    <s v="SEEDPACK"/>
    <x v="333"/>
    <x v="332"/>
    <n v="2000"/>
    <n v="2646000"/>
    <n v="0"/>
    <n v="0"/>
    <n v="0"/>
    <n v="0"/>
    <n v="0"/>
    <n v="0"/>
    <n v="0"/>
    <n v="0"/>
    <n v="0"/>
    <n v="0"/>
    <n v="333"/>
    <n v="441000"/>
    <n v="1324.3243243243244"/>
    <n v="0"/>
    <n v="0"/>
    <n v="0"/>
    <n v="0"/>
    <n v="0"/>
    <n v="0"/>
  </r>
  <r>
    <x v="1"/>
    <s v="SAN MARZANO SAS"/>
    <s v="SEEDPACK"/>
    <x v="334"/>
    <x v="333"/>
    <n v="2000"/>
    <n v="4456000"/>
    <n v="6600"/>
    <n v="14704800"/>
    <n v="0"/>
    <n v="0"/>
    <n v="0"/>
    <n v="0"/>
    <n v="5000"/>
    <n v="11140000"/>
    <n v="0"/>
    <n v="0"/>
    <n v="2267"/>
    <n v="5050133"/>
    <n v="2227.6722540802825"/>
    <n v="4000"/>
    <n v="8910689.0163211301"/>
    <n v="4000"/>
    <n v="8910689.0163211301"/>
    <n v="4000"/>
    <n v="8910689.0163211301"/>
  </r>
  <r>
    <x v="1"/>
    <s v="SAN MARZANO SAS"/>
    <s v="SEEDPACK"/>
    <x v="335"/>
    <x v="334"/>
    <n v="1000"/>
    <n v="1323000"/>
    <n v="1600"/>
    <n v="2116800"/>
    <n v="0"/>
    <n v="0"/>
    <n v="0"/>
    <n v="0"/>
    <n v="0"/>
    <n v="0"/>
    <n v="2952"/>
    <n v="3906000"/>
    <n v="925"/>
    <n v="1224300"/>
    <n v="1323.5675675675675"/>
    <n v="2000"/>
    <n v="2647135.1351351351"/>
    <n v="0"/>
    <n v="0"/>
    <n v="2000"/>
    <n v="2647135.1351351351"/>
  </r>
  <r>
    <x v="1"/>
    <s v="SANDIOS SAS"/>
    <s v="BOLSAS"/>
    <x v="150"/>
    <x v="150"/>
    <n v="0"/>
    <n v="0"/>
    <n v="0"/>
    <n v="0"/>
    <n v="0"/>
    <n v="0"/>
    <n v="0"/>
    <n v="0"/>
    <n v="0"/>
    <n v="0"/>
    <n v="1771"/>
    <n v="984914"/>
    <n v="295"/>
    <n v="164152"/>
    <n v="556.44745762711864"/>
    <n v="500"/>
    <n v="278223.72881355934"/>
    <n v="500"/>
    <n v="278223.72881355934"/>
    <n v="500"/>
    <n v="278223.72881355934"/>
  </r>
  <r>
    <x v="1"/>
    <s v="SANDIOS SAS"/>
    <s v="NO DEFINIDO"/>
    <x v="92"/>
    <x v="92"/>
    <n v="0"/>
    <n v="0"/>
    <n v="0"/>
    <n v="0"/>
    <n v="0"/>
    <n v="0"/>
    <n v="0"/>
    <n v="0"/>
    <n v="0"/>
    <n v="0"/>
    <n v="1181"/>
    <n v="1156152"/>
    <n v="197"/>
    <n v="192692"/>
    <n v="978.13197969543148"/>
    <n v="256"/>
    <n v="250401.78680203046"/>
    <n v="256"/>
    <n v="250401.78680203046"/>
    <n v="256"/>
    <n v="250401.78680203046"/>
  </r>
  <r>
    <x v="1"/>
    <s v="SANDIOS SAS"/>
    <s v="SEEDPACK"/>
    <x v="270"/>
    <x v="269"/>
    <n v="160"/>
    <n v="151840"/>
    <n v="0"/>
    <n v="0"/>
    <n v="0"/>
    <n v="0"/>
    <n v="0"/>
    <n v="0"/>
    <n v="0"/>
    <n v="0"/>
    <n v="0"/>
    <n v="0"/>
    <n v="27"/>
    <n v="25307"/>
    <n v="937.2962962962963"/>
    <n v="0"/>
    <n v="0"/>
    <n v="0"/>
    <n v="0"/>
    <n v="0"/>
    <n v="0"/>
  </r>
  <r>
    <x v="1"/>
    <s v="SANDIOS SAS"/>
    <s v="SEEDPACK"/>
    <x v="122"/>
    <x v="122"/>
    <n v="0"/>
    <n v="0"/>
    <n v="0"/>
    <n v="0"/>
    <n v="900"/>
    <n v="663300"/>
    <n v="0"/>
    <n v="0"/>
    <n v="0"/>
    <n v="0"/>
    <n v="0"/>
    <n v="0"/>
    <n v="150"/>
    <n v="110550"/>
    <n v="737"/>
    <n v="0"/>
    <n v="0"/>
    <n v="0"/>
    <n v="0"/>
    <n v="0"/>
    <n v="0"/>
  </r>
  <r>
    <x v="1"/>
    <s v="SANDIOS SAS"/>
    <s v="SEEDPACK"/>
    <x v="336"/>
    <x v="335"/>
    <n v="3000"/>
    <n v="2178000"/>
    <n v="1500"/>
    <n v="1089000"/>
    <n v="3000"/>
    <n v="2178000"/>
    <n v="1500"/>
    <n v="1047000"/>
    <n v="2400"/>
    <n v="1675200"/>
    <n v="886"/>
    <n v="660743"/>
    <n v="2048"/>
    <n v="1471324"/>
    <n v="718.419921875"/>
    <n v="4000"/>
    <n v="2873679.6875"/>
    <n v="4000"/>
    <n v="2873679.6875"/>
    <n v="4000"/>
    <n v="2873679.6875"/>
  </r>
  <r>
    <x v="1"/>
    <s v="SANDIOS SAS"/>
    <s v="SEEDPACK"/>
    <x v="98"/>
    <x v="98"/>
    <n v="0"/>
    <n v="0"/>
    <n v="0"/>
    <n v="0"/>
    <n v="1100"/>
    <n v="1001000"/>
    <n v="0"/>
    <n v="0"/>
    <n v="0"/>
    <n v="0"/>
    <n v="0"/>
    <n v="0"/>
    <n v="183"/>
    <n v="166833"/>
    <n v="911.65573770491801"/>
    <n v="0"/>
    <n v="0"/>
    <n v="0"/>
    <n v="0"/>
    <n v="0"/>
    <n v="0"/>
  </r>
  <r>
    <x v="1"/>
    <s v="SANDIOS SAS"/>
    <s v="SEEDPACK"/>
    <x v="337"/>
    <x v="336"/>
    <n v="0"/>
    <n v="0"/>
    <n v="1000"/>
    <n v="915000"/>
    <n v="4000"/>
    <n v="3660000"/>
    <n v="2000"/>
    <n v="1830000"/>
    <n v="3000"/>
    <n v="2745000"/>
    <n v="0"/>
    <n v="0"/>
    <n v="1667"/>
    <n v="1525000"/>
    <n v="914.81703659268146"/>
    <n v="5000"/>
    <n v="4574085.1829634076"/>
    <n v="5000"/>
    <n v="4574085.1829634076"/>
    <n v="5000"/>
    <n v="4574085.1829634076"/>
  </r>
  <r>
    <x v="1"/>
    <s v="SANDIOS SAS"/>
    <s v="SEEDPACK"/>
    <x v="338"/>
    <x v="337"/>
    <n v="4000"/>
    <n v="3660000"/>
    <n v="1200"/>
    <n v="1098000"/>
    <n v="0"/>
    <n v="0"/>
    <n v="0"/>
    <n v="0"/>
    <n v="0"/>
    <n v="0"/>
    <n v="0"/>
    <n v="0"/>
    <n v="867"/>
    <n v="793000"/>
    <n v="914.6482122260669"/>
    <n v="0"/>
    <n v="0"/>
    <n v="0"/>
    <n v="0"/>
    <n v="0"/>
    <n v="0"/>
  </r>
  <r>
    <x v="1"/>
    <s v="SANDIOS SAS"/>
    <s v="SEEDPACK"/>
    <x v="131"/>
    <x v="131"/>
    <n v="0"/>
    <n v="0"/>
    <n v="0"/>
    <n v="0"/>
    <n v="0"/>
    <n v="0"/>
    <n v="200"/>
    <n v="305400"/>
    <n v="0"/>
    <n v="0"/>
    <n v="0"/>
    <n v="0"/>
    <n v="33"/>
    <n v="50900"/>
    <n v="1542.4242424242425"/>
    <n v="43"/>
    <n v="66324.242424242431"/>
    <n v="43"/>
    <n v="66324.242424242431"/>
    <n v="43"/>
    <n v="66324.242424242431"/>
  </r>
  <r>
    <x v="1"/>
    <s v="SARY SOCIEDAD POR ACCIONES SIMPLIFICADA"/>
    <s v="SEEDPACK"/>
    <x v="339"/>
    <x v="338"/>
    <n v="5600"/>
    <n v="2217600"/>
    <n v="3500"/>
    <n v="1386000"/>
    <n v="3500"/>
    <n v="1386000"/>
    <n v="3500"/>
    <n v="1386000"/>
    <n v="0"/>
    <n v="0"/>
    <n v="0"/>
    <n v="0"/>
    <n v="2683"/>
    <n v="1062600"/>
    <n v="396.04919865821842"/>
    <n v="3000"/>
    <n v="1188147.5959746554"/>
    <n v="3000"/>
    <n v="1188147.5959746554"/>
    <n v="3000"/>
    <n v="1188147.5959746554"/>
  </r>
  <r>
    <x v="1"/>
    <s v="SARY SOCIEDAD POR ACCIONES SIMPLIFICADA"/>
    <s v="SEEDPACK"/>
    <x v="160"/>
    <x v="160"/>
    <n v="70000"/>
    <n v="14161000"/>
    <n v="30000"/>
    <n v="6069000"/>
    <n v="60000"/>
    <n v="12138000"/>
    <n v="60000"/>
    <n v="12138000"/>
    <n v="60000"/>
    <n v="12447000"/>
    <n v="44286"/>
    <n v="9393000"/>
    <n v="54048"/>
    <n v="11057667"/>
    <n v="204.58975355239787"/>
    <n v="60000"/>
    <n v="12275385.213143872"/>
    <n v="60000"/>
    <n v="12275385.213143872"/>
    <n v="60000"/>
    <n v="12275385.213143872"/>
  </r>
  <r>
    <x v="1"/>
    <s v="SARY SOCIEDAD POR ACCIONES SIMPLIFICADA"/>
    <s v="SEEDPACK"/>
    <x v="340"/>
    <x v="339"/>
    <n v="50000"/>
    <n v="14700000"/>
    <n v="0"/>
    <n v="0"/>
    <n v="20000"/>
    <n v="5880000"/>
    <n v="40000"/>
    <n v="11760000"/>
    <n v="40000"/>
    <n v="12059600"/>
    <n v="29524"/>
    <n v="9122562"/>
    <n v="29921"/>
    <n v="8920360"/>
    <n v="298.13041007987704"/>
    <n v="30000"/>
    <n v="8943912.3023963105"/>
    <n v="30000"/>
    <n v="8943912.3023963105"/>
    <n v="30000"/>
    <n v="8943912.3023963105"/>
  </r>
  <r>
    <x v="1"/>
    <s v="SARY SOCIEDAD POR ACCIONES SIMPLIFICADA"/>
    <s v="SEEDPACK"/>
    <x v="341"/>
    <x v="340"/>
    <n v="20300"/>
    <n v="9159360"/>
    <n v="20300"/>
    <n v="9159360"/>
    <n v="0"/>
    <n v="0"/>
    <n v="20300"/>
    <n v="9159360"/>
    <n v="20300"/>
    <n v="9392810"/>
    <n v="0"/>
    <n v="0"/>
    <n v="13533"/>
    <n v="6145148"/>
    <n v="454.0861597576295"/>
    <n v="0"/>
    <n v="0"/>
    <n v="20000"/>
    <n v="9081723.1951525901"/>
    <n v="12000"/>
    <n v="5449033.917091554"/>
  </r>
  <r>
    <x v="1"/>
    <s v="SARY SOCIEDAD POR ACCIONES SIMPLIFICADA"/>
    <s v="SEEDPACK"/>
    <x v="342"/>
    <x v="341"/>
    <n v="16800"/>
    <n v="5292000"/>
    <n v="60200"/>
    <n v="18963000"/>
    <n v="60200"/>
    <n v="18963000"/>
    <n v="60200"/>
    <n v="18963000"/>
    <n v="40600"/>
    <n v="13115018"/>
    <n v="59933"/>
    <n v="19845725"/>
    <n v="49656"/>
    <n v="15856957"/>
    <n v="319.33617286934106"/>
    <n v="60000"/>
    <n v="19160170.372160465"/>
    <n v="60000"/>
    <n v="19160170.372160465"/>
    <n v="60000"/>
    <n v="19160170.372160465"/>
  </r>
  <r>
    <x v="1"/>
    <s v="SIGMAPLASTICOS MEDELLIN SAS"/>
    <s v="BOLSAS"/>
    <x v="140"/>
    <x v="140"/>
    <n v="7500"/>
    <n v="3547500"/>
    <n v="5000"/>
    <n v="2365000"/>
    <n v="1000"/>
    <n v="473000"/>
    <n v="9000"/>
    <n v="4257000"/>
    <n v="0"/>
    <n v="0"/>
    <n v="10629"/>
    <n v="5027314"/>
    <n v="5521"/>
    <n v="2611636"/>
    <n v="473.03676870132222"/>
    <n v="5000"/>
    <n v="2365183.843506611"/>
    <n v="0"/>
    <n v="0"/>
    <n v="5000"/>
    <n v="2365183.843506611"/>
  </r>
  <r>
    <x v="1"/>
    <s v="SIGMAPLASTICOS MEDELLIN SAS"/>
    <s v="PLATOS"/>
    <x v="155"/>
    <x v="155"/>
    <n v="2880"/>
    <n v="734400"/>
    <n v="0"/>
    <n v="0"/>
    <n v="0"/>
    <n v="0"/>
    <n v="0"/>
    <n v="0"/>
    <n v="0"/>
    <n v="0"/>
    <n v="0"/>
    <n v="0"/>
    <n v="480"/>
    <n v="122400"/>
    <n v="255"/>
    <n v="624"/>
    <n v="159120"/>
    <n v="624"/>
    <n v="159120"/>
    <n v="624"/>
    <n v="159120"/>
  </r>
  <r>
    <x v="1"/>
    <s v="SIGMAPLASTICOS MEDELLIN SAS"/>
    <s v="PLATOS"/>
    <x v="115"/>
    <x v="115"/>
    <n v="720"/>
    <n v="209520"/>
    <n v="0"/>
    <n v="0"/>
    <n v="0"/>
    <n v="0"/>
    <n v="0"/>
    <n v="0"/>
    <n v="0"/>
    <n v="0"/>
    <n v="0"/>
    <n v="0"/>
    <n v="120"/>
    <n v="34920"/>
    <n v="291"/>
    <n v="156"/>
    <n v="45396"/>
    <n v="156"/>
    <n v="45396"/>
    <n v="156"/>
    <n v="45396"/>
  </r>
  <r>
    <x v="1"/>
    <s v="SIGMAPLASTICOS MEDELLIN SAS"/>
    <s v="PLATOS"/>
    <x v="116"/>
    <x v="116"/>
    <n v="1920"/>
    <n v="948480"/>
    <n v="0"/>
    <n v="0"/>
    <n v="0"/>
    <n v="0"/>
    <n v="0"/>
    <n v="0"/>
    <n v="0"/>
    <n v="0"/>
    <n v="0"/>
    <n v="0"/>
    <n v="320"/>
    <n v="158080"/>
    <n v="494"/>
    <n v="416"/>
    <n v="205504"/>
    <n v="416"/>
    <n v="205504"/>
    <n v="416"/>
    <n v="205504"/>
  </r>
  <r>
    <x v="1"/>
    <s v="SIGMAPLASTICOS MEDELLIN SAS"/>
    <s v="PLATOS"/>
    <x v="167"/>
    <x v="167"/>
    <n v="1240"/>
    <n v="414160"/>
    <n v="0"/>
    <n v="0"/>
    <n v="0"/>
    <n v="0"/>
    <n v="0"/>
    <n v="0"/>
    <n v="0"/>
    <n v="0"/>
    <n v="0"/>
    <n v="0"/>
    <n v="207"/>
    <n v="69027"/>
    <n v="333.463768115942"/>
    <n v="269"/>
    <n v="89701.753623188401"/>
    <n v="269"/>
    <n v="89701.753623188401"/>
    <n v="269"/>
    <n v="89701.753623188401"/>
  </r>
  <r>
    <x v="1"/>
    <s v="SIGMAPLASTICOS MEDELLIN SAS"/>
    <s v="PLATOS"/>
    <x v="144"/>
    <x v="144"/>
    <n v="1440"/>
    <n v="213120"/>
    <n v="2160"/>
    <n v="319680"/>
    <n v="0"/>
    <n v="0"/>
    <n v="0"/>
    <n v="0"/>
    <n v="0"/>
    <n v="0"/>
    <n v="0"/>
    <n v="0"/>
    <n v="600"/>
    <n v="88800"/>
    <n v="148"/>
    <n v="780"/>
    <n v="115440"/>
    <n v="780"/>
    <n v="115440"/>
    <n v="780"/>
    <n v="115440"/>
  </r>
  <r>
    <x v="1"/>
    <s v="SIGMAPLASTICOS MEDELLIN SAS"/>
    <s v="PLATOS"/>
    <x v="143"/>
    <x v="143"/>
    <n v="600"/>
    <n v="199200"/>
    <n v="600"/>
    <n v="199200"/>
    <n v="600"/>
    <n v="199200"/>
    <n v="0"/>
    <n v="0"/>
    <n v="0"/>
    <n v="0"/>
    <n v="0"/>
    <n v="0"/>
    <n v="300"/>
    <n v="99600"/>
    <n v="332"/>
    <n v="390"/>
    <n v="129480"/>
    <n v="390"/>
    <n v="129480"/>
    <n v="390"/>
    <n v="129480"/>
  </r>
  <r>
    <x v="1"/>
    <s v="SIGMAPLASTICOS MEDELLIN SAS"/>
    <s v="SEEDPACK"/>
    <x v="94"/>
    <x v="94"/>
    <n v="30000"/>
    <n v="2340000"/>
    <n v="16000"/>
    <n v="1248000"/>
    <n v="0"/>
    <n v="0"/>
    <n v="20000"/>
    <n v="1560000"/>
    <n v="20000"/>
    <n v="1560000"/>
    <n v="44286"/>
    <n v="3454286"/>
    <n v="21714"/>
    <n v="1693714"/>
    <n v="78.001013171225935"/>
    <n v="40000"/>
    <n v="3120040.5268490375"/>
    <n v="40000"/>
    <n v="3120040.5268490375"/>
    <n v="40000"/>
    <n v="3120040.5268490375"/>
  </r>
  <r>
    <x v="1"/>
    <s v="SIGMAPLASTICOS MEDELLIN SAS"/>
    <s v="SEEDPACK"/>
    <x v="343"/>
    <x v="342"/>
    <n v="0"/>
    <n v="0"/>
    <n v="0"/>
    <n v="0"/>
    <n v="10800"/>
    <n v="2754000"/>
    <n v="2160"/>
    <n v="550800"/>
    <n v="0"/>
    <n v="0"/>
    <n v="0"/>
    <n v="0"/>
    <n v="2160"/>
    <n v="550800"/>
    <n v="255"/>
    <n v="0"/>
    <n v="0"/>
    <n v="2808"/>
    <n v="716040"/>
    <n v="2808"/>
    <n v="716040"/>
  </r>
  <r>
    <x v="1"/>
    <s v="SIGMAPLASTICOS MEDELLIN SAS"/>
    <s v="SEEDPACK"/>
    <x v="344"/>
    <x v="343"/>
    <n v="0"/>
    <n v="0"/>
    <n v="0"/>
    <n v="0"/>
    <n v="0"/>
    <n v="0"/>
    <n v="8640"/>
    <n v="2972160"/>
    <n v="0"/>
    <n v="0"/>
    <n v="0"/>
    <n v="0"/>
    <n v="1440"/>
    <n v="495360"/>
    <n v="344"/>
    <n v="0"/>
    <n v="0"/>
    <n v="1872"/>
    <n v="643968"/>
    <n v="1872"/>
    <n v="643968"/>
  </r>
  <r>
    <x v="1"/>
    <s v="SIGMAPLASTICOS MEDELLIN SAS"/>
    <s v="SEEDPACK"/>
    <x v="153"/>
    <x v="153"/>
    <n v="0"/>
    <n v="0"/>
    <n v="0"/>
    <n v="0"/>
    <n v="0"/>
    <n v="0"/>
    <n v="1080"/>
    <n v="354240"/>
    <n v="0"/>
    <n v="0"/>
    <n v="0"/>
    <n v="0"/>
    <n v="180"/>
    <n v="59040"/>
    <n v="328"/>
    <n v="3240"/>
    <n v="1062720"/>
    <n v="3240"/>
    <n v="1062720"/>
    <n v="3240"/>
    <n v="1062720"/>
  </r>
  <r>
    <x v="1"/>
    <s v="SIGMAPLASTICOS MEDELLIN SAS"/>
    <s v="SEEDPACK"/>
    <x v="137"/>
    <x v="137"/>
    <n v="0"/>
    <n v="0"/>
    <n v="3240"/>
    <n v="1062720"/>
    <n v="0"/>
    <n v="0"/>
    <n v="0"/>
    <n v="0"/>
    <n v="0"/>
    <n v="0"/>
    <n v="0"/>
    <n v="0"/>
    <n v="540"/>
    <n v="177120"/>
    <n v="328"/>
    <n v="0"/>
    <n v="0"/>
    <n v="0"/>
    <n v="0"/>
    <n v="0"/>
    <n v="0"/>
  </r>
  <r>
    <x v="1"/>
    <s v="SIGMAPLASTICOS MEDELLIN SAS"/>
    <s v="SEEDPACK"/>
    <x v="166"/>
    <x v="166"/>
    <n v="0"/>
    <n v="0"/>
    <n v="5400"/>
    <n v="2710800"/>
    <n v="6600"/>
    <n v="3313200"/>
    <n v="0"/>
    <n v="0"/>
    <n v="0"/>
    <n v="0"/>
    <n v="0"/>
    <n v="0"/>
    <n v="2000"/>
    <n v="1004000"/>
    <n v="502"/>
    <n v="2600"/>
    <n v="1305200"/>
    <n v="2600"/>
    <n v="1305200"/>
    <n v="2600"/>
    <n v="1305200"/>
  </r>
  <r>
    <x v="1"/>
    <s v="SIGMAPLASTICOS MEDELLIN SAS"/>
    <s v="SEEDPACK"/>
    <x v="113"/>
    <x v="113"/>
    <n v="0"/>
    <n v="0"/>
    <n v="2160"/>
    <n v="941760"/>
    <n v="1440"/>
    <n v="627840"/>
    <n v="1440"/>
    <n v="627840"/>
    <n v="0"/>
    <n v="0"/>
    <n v="0"/>
    <n v="0"/>
    <n v="840"/>
    <n v="366240"/>
    <n v="436"/>
    <n v="2160"/>
    <n v="941760"/>
    <n v="2160"/>
    <n v="941760"/>
    <n v="2160"/>
    <n v="941760"/>
  </r>
  <r>
    <x v="1"/>
    <s v="SIGMAPLASTICOS MEDELLIN SAS"/>
    <s v="SEEDPACK"/>
    <x v="123"/>
    <x v="123"/>
    <n v="1000"/>
    <n v="577000"/>
    <n v="2000"/>
    <n v="1154000"/>
    <n v="0"/>
    <n v="0"/>
    <n v="1500"/>
    <n v="865500"/>
    <n v="0"/>
    <n v="0"/>
    <n v="0"/>
    <n v="0"/>
    <n v="750"/>
    <n v="432750"/>
    <n v="577"/>
    <n v="1000"/>
    <n v="577000"/>
    <n v="1000"/>
    <n v="577000"/>
    <n v="1000"/>
    <n v="577000"/>
  </r>
  <r>
    <x v="1"/>
    <s v="SIGMAPLASTICOS MEDELLIN SAS"/>
    <s v="SEEDPACK"/>
    <x v="184"/>
    <x v="184"/>
    <n v="660"/>
    <n v="359700"/>
    <n v="1980"/>
    <n v="1079100"/>
    <n v="1320"/>
    <n v="719400"/>
    <n v="0"/>
    <n v="0"/>
    <n v="0"/>
    <n v="0"/>
    <n v="0"/>
    <n v="0"/>
    <n v="660"/>
    <n v="359700"/>
    <n v="545"/>
    <n v="858"/>
    <n v="467610"/>
    <n v="858"/>
    <n v="467610"/>
    <n v="858"/>
    <n v="467610"/>
  </r>
  <r>
    <x v="1"/>
    <s v="SIGMAPLASTICOS MEDELLIN SAS"/>
    <s v="SEEDPACK"/>
    <x v="156"/>
    <x v="156"/>
    <n v="2100"/>
    <n v="1715700"/>
    <n v="0"/>
    <n v="0"/>
    <n v="0"/>
    <n v="0"/>
    <n v="0"/>
    <n v="0"/>
    <n v="0"/>
    <n v="0"/>
    <n v="0"/>
    <n v="0"/>
    <n v="350"/>
    <n v="285950"/>
    <n v="817"/>
    <n v="455"/>
    <n v="371735"/>
    <n v="455"/>
    <n v="371735"/>
    <n v="455"/>
    <n v="371735"/>
  </r>
  <r>
    <x v="1"/>
    <s v="SIGMAPLASTICOS MEDELLIN SAS"/>
    <s v="SEEDPACK"/>
    <x v="95"/>
    <x v="95"/>
    <n v="500"/>
    <n v="558000"/>
    <n v="600"/>
    <n v="669600"/>
    <n v="500"/>
    <n v="558000"/>
    <n v="1000"/>
    <n v="1116000"/>
    <n v="800"/>
    <n v="892800"/>
    <n v="0"/>
    <n v="0"/>
    <n v="567"/>
    <n v="632400"/>
    <n v="1115.3439153439153"/>
    <n v="737"/>
    <n v="822008.4656084656"/>
    <n v="737"/>
    <n v="822008.4656084656"/>
    <n v="737"/>
    <n v="822008.4656084656"/>
  </r>
  <r>
    <x v="1"/>
    <s v="SIGMAPLASTICOS MEDELLIN SAS"/>
    <s v="SEEDPACK"/>
    <x v="96"/>
    <x v="96"/>
    <n v="0"/>
    <n v="0"/>
    <n v="0"/>
    <n v="0"/>
    <n v="0"/>
    <n v="0"/>
    <n v="0"/>
    <n v="0"/>
    <n v="0"/>
    <n v="0"/>
    <n v="295"/>
    <n v="413924"/>
    <n v="49"/>
    <n v="68987"/>
    <n v="1407.8979591836735"/>
    <n v="64"/>
    <n v="90105.469387755104"/>
    <n v="64"/>
    <n v="90105.469387755104"/>
    <n v="64"/>
    <n v="90105.469387755104"/>
  </r>
  <r>
    <x v="1"/>
    <s v="SIGMAPLASTICOS MEDELLIN SAS"/>
    <s v="SEEDPACK"/>
    <x v="97"/>
    <x v="97"/>
    <n v="300"/>
    <n v="588600"/>
    <n v="300"/>
    <n v="588600"/>
    <n v="150"/>
    <n v="294300"/>
    <n v="550"/>
    <n v="1079100"/>
    <n v="150"/>
    <n v="294300"/>
    <n v="0"/>
    <n v="0"/>
    <n v="242"/>
    <n v="474150"/>
    <n v="1959.297520661157"/>
    <n v="314"/>
    <n v="615219.42148760334"/>
    <n v="314"/>
    <n v="615219.42148760334"/>
    <n v="314"/>
    <n v="615219.42148760334"/>
  </r>
  <r>
    <x v="1"/>
    <s v="SIGMAPLASTICOS MEDELLIN SAS"/>
    <s v="SEEDPACK"/>
    <x v="169"/>
    <x v="169"/>
    <n v="0"/>
    <n v="0"/>
    <n v="0"/>
    <n v="0"/>
    <n v="100"/>
    <n v="347800"/>
    <n v="0"/>
    <n v="0"/>
    <n v="0"/>
    <n v="0"/>
    <n v="0"/>
    <n v="0"/>
    <n v="17"/>
    <n v="57967"/>
    <n v="3409.8235294117649"/>
    <n v="50"/>
    <n v="170491.17647058825"/>
    <n v="22"/>
    <n v="75016.117647058825"/>
    <n v="22"/>
    <n v="75016.117647058825"/>
  </r>
  <r>
    <x v="1"/>
    <s v="SIGMAPLASTICOS MEDELLIN SAS"/>
    <s v="SEEDPACK"/>
    <x v="145"/>
    <x v="145"/>
    <n v="0"/>
    <n v="0"/>
    <n v="0"/>
    <n v="0"/>
    <n v="150"/>
    <n v="408300"/>
    <n v="0"/>
    <n v="0"/>
    <n v="0"/>
    <n v="0"/>
    <n v="0"/>
    <n v="0"/>
    <n v="25"/>
    <n v="68050"/>
    <n v="2722"/>
    <n v="50"/>
    <n v="136100"/>
    <n v="32"/>
    <n v="87104"/>
    <n v="32"/>
    <n v="87104"/>
  </r>
  <r>
    <x v="1"/>
    <s v="SIGMAPLASTICOS MEDELLIN SAS"/>
    <s v="SEEDPACK"/>
    <x v="146"/>
    <x v="146"/>
    <n v="0"/>
    <n v="0"/>
    <n v="0"/>
    <n v="0"/>
    <n v="100"/>
    <n v="238200"/>
    <n v="0"/>
    <n v="0"/>
    <n v="0"/>
    <n v="0"/>
    <n v="0"/>
    <n v="0"/>
    <n v="17"/>
    <n v="39700"/>
    <n v="2335.294117647059"/>
    <n v="50"/>
    <n v="116764.70588235295"/>
    <n v="22"/>
    <n v="51376.470588235301"/>
    <n v="22"/>
    <n v="51376.470588235301"/>
  </r>
  <r>
    <x v="1"/>
    <s v="SIGMAPLASTICOS MEDELLIN SAS"/>
    <s v="SEEDPACK"/>
    <x v="270"/>
    <x v="269"/>
    <n v="320"/>
    <n v="315520"/>
    <n v="0"/>
    <n v="0"/>
    <n v="0"/>
    <n v="0"/>
    <n v="0"/>
    <n v="0"/>
    <n v="0"/>
    <n v="0"/>
    <n v="0"/>
    <n v="0"/>
    <n v="53"/>
    <n v="52587"/>
    <n v="992.20754716981128"/>
    <n v="69"/>
    <n v="68462.320754716973"/>
    <n v="69"/>
    <n v="68462.320754716973"/>
    <n v="69"/>
    <n v="68462.320754716973"/>
  </r>
  <r>
    <x v="1"/>
    <s v="SIGMAPLASTICOS MEDELLIN SAS"/>
    <s v="SEEDPACK"/>
    <x v="122"/>
    <x v="122"/>
    <n v="1200"/>
    <n v="842400"/>
    <n v="3750"/>
    <n v="2632500"/>
    <n v="2250"/>
    <n v="1579500"/>
    <n v="1500"/>
    <n v="1053000"/>
    <n v="0"/>
    <n v="0"/>
    <n v="3321"/>
    <n v="2331643"/>
    <n v="2004"/>
    <n v="1406507"/>
    <n v="701.84980039920163"/>
    <n v="2605"/>
    <n v="1828318.7300399202"/>
    <n v="2605"/>
    <n v="1828318.7300399202"/>
    <n v="2605"/>
    <n v="1828318.7300399202"/>
  </r>
  <r>
    <x v="1"/>
    <s v="SIGMAPLASTICOS MEDELLIN SAS"/>
    <s v="SEEDPACK"/>
    <x v="98"/>
    <x v="98"/>
    <n v="2500"/>
    <n v="2397500"/>
    <n v="2000"/>
    <n v="1918000"/>
    <n v="1000"/>
    <n v="959000"/>
    <n v="2400"/>
    <n v="2301600"/>
    <n v="600"/>
    <n v="575400"/>
    <n v="2214"/>
    <n v="2123500"/>
    <n v="1786"/>
    <n v="1712500"/>
    <n v="958.84658454647251"/>
    <n v="2321"/>
    <n v="2225482.9227323625"/>
    <n v="2321"/>
    <n v="2225482.9227323625"/>
    <n v="2321"/>
    <n v="2225482.9227323625"/>
  </r>
  <r>
    <x v="1"/>
    <s v="SIGMAPLASTICOS MEDELLIN SAS"/>
    <s v="SEEDPACK"/>
    <x v="100"/>
    <x v="100"/>
    <n v="1000"/>
    <n v="1032000"/>
    <n v="300"/>
    <n v="309600"/>
    <n v="0"/>
    <n v="0"/>
    <n v="800"/>
    <n v="825600"/>
    <n v="300"/>
    <n v="309600"/>
    <n v="1476"/>
    <n v="1523429"/>
    <n v="646"/>
    <n v="666705"/>
    <n v="1032.0510835913312"/>
    <n v="840"/>
    <n v="866922.91021671821"/>
    <n v="840"/>
    <n v="866922.91021671821"/>
    <n v="840"/>
    <n v="866922.91021671821"/>
  </r>
  <r>
    <x v="1"/>
    <s v="SIGMAPLASTICOS MEDELLIN SAS"/>
    <s v="SEEDPACK"/>
    <x v="131"/>
    <x v="131"/>
    <n v="900"/>
    <n v="1226700"/>
    <n v="1200"/>
    <n v="1635600"/>
    <n v="0"/>
    <n v="0"/>
    <n v="500"/>
    <n v="681500"/>
    <n v="1500"/>
    <n v="2044500"/>
    <n v="0"/>
    <n v="0"/>
    <n v="683"/>
    <n v="931383"/>
    <n v="1363.6647144948756"/>
    <n v="888"/>
    <n v="1210934.2664714495"/>
    <n v="888"/>
    <n v="1210934.2664714495"/>
    <n v="888"/>
    <n v="1210934.2664714495"/>
  </r>
  <r>
    <x v="1"/>
    <s v="SIGMAPLASTICOS MEDELLIN SAS"/>
    <s v="SEEDPACK"/>
    <x v="118"/>
    <x v="118"/>
    <n v="0"/>
    <n v="0"/>
    <n v="5400"/>
    <n v="2025000"/>
    <n v="0"/>
    <n v="0"/>
    <n v="0"/>
    <n v="0"/>
    <n v="0"/>
    <n v="0"/>
    <n v="886"/>
    <n v="332143"/>
    <n v="1048"/>
    <n v="392857"/>
    <n v="374.86354961832063"/>
    <n v="1362"/>
    <n v="510564.15458015271"/>
    <n v="1362"/>
    <n v="510564.15458015271"/>
    <n v="1362"/>
    <n v="510564.15458015271"/>
  </r>
  <r>
    <x v="1"/>
    <s v="SIGMAPLASTICOS MEDELLIN SAS"/>
    <s v="SEEDPACK"/>
    <x v="119"/>
    <x v="119"/>
    <n v="0"/>
    <n v="0"/>
    <n v="720"/>
    <n v="426240"/>
    <n v="0"/>
    <n v="0"/>
    <n v="0"/>
    <n v="0"/>
    <n v="900"/>
    <n v="532800"/>
    <n v="797"/>
    <n v="471909"/>
    <n v="403"/>
    <n v="238491"/>
    <n v="591.78908188585604"/>
    <n v="524"/>
    <n v="310097.47890818858"/>
    <n v="524"/>
    <n v="310097.47890818858"/>
    <n v="524"/>
    <n v="310097.47890818858"/>
  </r>
  <r>
    <x v="1"/>
    <s v="SIGMAPLASTICOS MEDELLIN SAS"/>
    <s v="SEEDPACK"/>
    <x v="101"/>
    <x v="101"/>
    <n v="360"/>
    <n v="339120"/>
    <n v="720"/>
    <n v="678240"/>
    <n v="450"/>
    <n v="423900"/>
    <n v="900"/>
    <n v="847800"/>
    <n v="900"/>
    <n v="847800"/>
    <n v="0"/>
    <n v="0"/>
    <n v="555"/>
    <n v="522810"/>
    <n v="942"/>
    <n v="722"/>
    <n v="680124"/>
    <n v="722"/>
    <n v="680124"/>
    <n v="722"/>
    <n v="680124"/>
  </r>
  <r>
    <x v="1"/>
    <s v="SIGMAPLASTICOS MEDELLIN SAS"/>
    <s v="SEEDPACK"/>
    <x v="102"/>
    <x v="102"/>
    <n v="0"/>
    <n v="0"/>
    <n v="1800"/>
    <n v="829800"/>
    <n v="0"/>
    <n v="0"/>
    <n v="1440"/>
    <n v="663840"/>
    <n v="0"/>
    <n v="0"/>
    <n v="0"/>
    <n v="0"/>
    <n v="540"/>
    <n v="248940"/>
    <n v="461"/>
    <n v="702"/>
    <n v="323622"/>
    <n v="702"/>
    <n v="323622"/>
    <n v="702"/>
    <n v="323622"/>
  </r>
  <r>
    <x v="1"/>
    <s v="SIGMAPLASTICOS MEDELLIN SAS"/>
    <s v="SEEDPACK"/>
    <x v="103"/>
    <x v="103"/>
    <n v="1350"/>
    <n v="765450"/>
    <n v="1350"/>
    <n v="765450"/>
    <n v="1350"/>
    <n v="765450"/>
    <n v="0"/>
    <n v="0"/>
    <n v="0"/>
    <n v="0"/>
    <n v="0"/>
    <n v="0"/>
    <n v="675"/>
    <n v="382725"/>
    <n v="567"/>
    <n v="878"/>
    <n v="497826"/>
    <n v="878"/>
    <n v="497826"/>
    <n v="878"/>
    <n v="497826"/>
  </r>
  <r>
    <x v="1"/>
    <s v="SIGMAPLASTICOS MEDELLIN SAS"/>
    <s v="SEEDPACK"/>
    <x v="104"/>
    <x v="104"/>
    <n v="2100"/>
    <n v="1333500"/>
    <n v="1680"/>
    <n v="1066800"/>
    <n v="0"/>
    <n v="0"/>
    <n v="840"/>
    <n v="533400"/>
    <n v="0"/>
    <n v="0"/>
    <n v="0"/>
    <n v="0"/>
    <n v="770"/>
    <n v="488950"/>
    <n v="635"/>
    <n v="1001"/>
    <n v="635635"/>
    <n v="1001"/>
    <n v="635635"/>
    <n v="1001"/>
    <n v="635635"/>
  </r>
  <r>
    <x v="1"/>
    <s v="SIGMAPLASTICOS MEDELLIN SAS"/>
    <s v="Salseros"/>
    <x v="108"/>
    <x v="108"/>
    <n v="0"/>
    <n v="0"/>
    <n v="50000"/>
    <n v="1630000"/>
    <n v="0"/>
    <n v="0"/>
    <n v="35000"/>
    <n v="1141000"/>
    <n v="10000"/>
    <n v="326000"/>
    <n v="0"/>
    <n v="0"/>
    <n v="15833"/>
    <n v="516167"/>
    <n v="32.600707383313335"/>
    <n v="20583"/>
    <n v="671020.36007073836"/>
    <n v="20583"/>
    <n v="671020.36007073836"/>
    <n v="20583"/>
    <n v="671020.36007073836"/>
  </r>
  <r>
    <x v="1"/>
    <s v="SIGMAPLASTICOS MEDELLIN SAS"/>
    <s v="Salseros"/>
    <x v="110"/>
    <x v="110"/>
    <n v="15000"/>
    <n v="508500"/>
    <n v="10000"/>
    <n v="339000"/>
    <n v="0"/>
    <n v="0"/>
    <n v="15000"/>
    <n v="508500"/>
    <n v="25000"/>
    <n v="847500"/>
    <n v="22143"/>
    <n v="750643"/>
    <n v="14524"/>
    <n v="492357"/>
    <n v="33.899545579730102"/>
    <n v="18881"/>
    <n v="640057.32009088411"/>
    <n v="18881"/>
    <n v="640057.32009088411"/>
    <n v="18881"/>
    <n v="640057.32009088411"/>
  </r>
  <r>
    <x v="1"/>
    <s v="SIGMAPLASTICOS MEDELLIN SAS"/>
    <s v="Salseros"/>
    <x v="132"/>
    <x v="132"/>
    <n v="15000"/>
    <n v="600000"/>
    <n v="0"/>
    <n v="0"/>
    <n v="0"/>
    <n v="0"/>
    <n v="10000"/>
    <n v="400000"/>
    <n v="0"/>
    <n v="0"/>
    <n v="36905"/>
    <n v="1476190"/>
    <n v="10317"/>
    <n v="412698"/>
    <n v="40.001744693224772"/>
    <n v="13413"/>
    <n v="536543.40157022385"/>
    <n v="13413"/>
    <n v="536543.40157022385"/>
    <n v="13413"/>
    <n v="536543.40157022385"/>
  </r>
  <r>
    <x v="9"/>
    <m/>
    <s v="SEEDPACK"/>
    <x v="345"/>
    <x v="344"/>
    <m/>
    <m/>
    <m/>
    <m/>
    <m/>
    <m/>
    <m/>
    <m/>
    <m/>
    <m/>
    <m/>
    <m/>
    <m/>
    <m/>
    <n v="475"/>
    <n v="30000"/>
    <n v="14250000"/>
    <n v="30000"/>
    <n v="14220000"/>
    <n v="30000"/>
    <n v="14250000"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  <r>
    <x v="10"/>
    <m/>
    <m/>
    <x v="346"/>
    <x v="345"/>
    <m/>
    <m/>
    <m/>
    <m/>
    <m/>
    <m/>
    <m/>
    <m/>
    <m/>
    <m/>
    <m/>
    <m/>
    <m/>
    <m/>
    <m/>
    <n v="0"/>
    <m/>
    <m/>
    <m/>
    <m/>
    <m/>
  </r>
  <r>
    <x v="10"/>
    <m/>
    <m/>
    <x v="346"/>
    <x v="345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E2EF6-D5CE-4230-8E01-3037D5E2E2FD}" name="TablaDinámica1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J350" firstHeaderRow="0" firstDataRow="1" firstDataCol="2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7">
        <item x="94"/>
        <item x="259"/>
        <item x="272"/>
        <item x="309"/>
        <item x="230"/>
        <item x="310"/>
        <item x="117"/>
        <item x="281"/>
        <item x="311"/>
        <item x="2"/>
        <item x="3"/>
        <item x="249"/>
        <item x="339"/>
        <item x="164"/>
        <item x="162"/>
        <item x="161"/>
        <item x="343"/>
        <item x="165"/>
        <item x="326"/>
        <item x="133"/>
        <item x="219"/>
        <item x="295"/>
        <item x="127"/>
        <item x="301"/>
        <item x="320"/>
        <item x="111"/>
        <item x="134"/>
        <item x="125"/>
        <item x="344"/>
        <item x="135"/>
        <item x="136"/>
        <item x="126"/>
        <item x="208"/>
        <item x="308"/>
        <item x="327"/>
        <item x="112"/>
        <item x="273"/>
        <item x="296"/>
        <item x="221"/>
        <item x="150"/>
        <item x="250"/>
        <item x="151"/>
        <item x="138"/>
        <item x="251"/>
        <item x="252"/>
        <item x="141"/>
        <item x="139"/>
        <item x="140"/>
        <item x="253"/>
        <item x="297"/>
        <item x="274"/>
        <item x="275"/>
        <item x="153"/>
        <item x="107"/>
        <item x="137"/>
        <item x="166"/>
        <item x="113"/>
        <item x="114"/>
        <item x="260"/>
        <item x="163"/>
        <item x="123"/>
        <item x="124"/>
        <item x="261"/>
        <item x="184"/>
        <item x="174"/>
        <item x="222"/>
        <item x="160"/>
        <item x="340"/>
        <item x="276"/>
        <item x="154"/>
        <item x="120"/>
        <item x="292"/>
        <item x="121"/>
        <item x="277"/>
        <item x="278"/>
        <item x="332"/>
        <item x="210"/>
        <item x="341"/>
        <item x="342"/>
        <item x="231"/>
        <item x="232"/>
        <item x="233"/>
        <item x="211"/>
        <item x="212"/>
        <item x="156"/>
        <item x="279"/>
        <item x="95"/>
        <item x="271"/>
        <item x="280"/>
        <item x="96"/>
        <item x="97"/>
        <item x="262"/>
        <item x="282"/>
        <item x="283"/>
        <item x="263"/>
        <item x="328"/>
        <item x="329"/>
        <item x="330"/>
        <item x="331"/>
        <item x="305"/>
        <item x="306"/>
        <item x="302"/>
        <item x="303"/>
        <item x="157"/>
        <item x="158"/>
        <item x="293"/>
        <item x="169"/>
        <item x="16"/>
        <item x="145"/>
        <item x="290"/>
        <item x="146"/>
        <item x="270"/>
        <item x="159"/>
        <item x="176"/>
        <item x="307"/>
        <item x="220"/>
        <item x="177"/>
        <item x="178"/>
        <item x="317"/>
        <item x="318"/>
        <item x="291"/>
        <item x="333"/>
        <item x="312"/>
        <item x="334"/>
        <item x="335"/>
        <item x="313"/>
        <item x="185"/>
        <item x="314"/>
        <item x="315"/>
        <item x="316"/>
        <item x="209"/>
        <item x="122"/>
        <item x="246"/>
        <item x="287"/>
        <item x="285"/>
        <item x="264"/>
        <item x="324"/>
        <item x="336"/>
        <item x="98"/>
        <item x="247"/>
        <item x="288"/>
        <item x="286"/>
        <item x="265"/>
        <item x="325"/>
        <item x="337"/>
        <item x="321"/>
        <item x="322"/>
        <item x="338"/>
        <item x="130"/>
        <item x="323"/>
        <item x="99"/>
        <item x="100"/>
        <item x="248"/>
        <item x="109"/>
        <item x="131"/>
        <item x="298"/>
        <item x="284"/>
        <item x="299"/>
        <item x="256"/>
        <item x="148"/>
        <item x="179"/>
        <item x="300"/>
        <item x="319"/>
        <item x="147"/>
        <item x="254"/>
        <item x="294"/>
        <item x="224"/>
        <item x="226"/>
        <item x="172"/>
        <item x="198"/>
        <item x="175"/>
        <item x="173"/>
        <item x="213"/>
        <item x="50"/>
        <item x="51"/>
        <item x="52"/>
        <item x="170"/>
        <item x="53"/>
        <item x="214"/>
        <item x="188"/>
        <item x="199"/>
        <item x="54"/>
        <item x="55"/>
        <item x="171"/>
        <item x="92"/>
        <item x="49"/>
        <item x="93"/>
        <item x="289"/>
        <item x="155"/>
        <item x="115"/>
        <item x="116"/>
        <item x="152"/>
        <item x="234"/>
        <item x="235"/>
        <item x="236"/>
        <item x="237"/>
        <item x="238"/>
        <item x="239"/>
        <item x="240"/>
        <item x="255"/>
        <item x="17"/>
        <item x="241"/>
        <item x="167"/>
        <item x="168"/>
        <item x="129"/>
        <item x="144"/>
        <item x="142"/>
        <item x="143"/>
        <item x="258"/>
        <item x="118"/>
        <item x="257"/>
        <item x="266"/>
        <item x="119"/>
        <item x="242"/>
        <item x="243"/>
        <item x="101"/>
        <item x="267"/>
        <item x="102"/>
        <item x="268"/>
        <item x="103"/>
        <item x="104"/>
        <item x="269"/>
        <item x="128"/>
        <item x="304"/>
        <item x="244"/>
        <item x="245"/>
        <item x="108"/>
        <item x="110"/>
        <item x="132"/>
        <item x="149"/>
        <item x="6"/>
        <item x="7"/>
        <item x="9"/>
        <item x="105"/>
        <item x="194"/>
        <item x="106"/>
        <item x="8"/>
        <item x="193"/>
        <item x="56"/>
        <item x="189"/>
        <item x="200"/>
        <item x="57"/>
        <item x="58"/>
        <item x="59"/>
        <item x="60"/>
        <item x="61"/>
        <item x="62"/>
        <item x="63"/>
        <item x="64"/>
        <item x="186"/>
        <item x="19"/>
        <item x="65"/>
        <item x="66"/>
        <item x="67"/>
        <item x="68"/>
        <item x="69"/>
        <item x="223"/>
        <item x="70"/>
        <item x="71"/>
        <item x="10"/>
        <item x="187"/>
        <item x="225"/>
        <item x="4"/>
        <item x="5"/>
        <item x="20"/>
        <item x="21"/>
        <item x="22"/>
        <item x="23"/>
        <item x="24"/>
        <item x="25"/>
        <item x="26"/>
        <item x="27"/>
        <item x="28"/>
        <item x="29"/>
        <item x="30"/>
        <item x="190"/>
        <item x="227"/>
        <item x="215"/>
        <item x="11"/>
        <item x="31"/>
        <item x="228"/>
        <item x="216"/>
        <item x="72"/>
        <item x="32"/>
        <item x="195"/>
        <item x="33"/>
        <item x="12"/>
        <item x="217"/>
        <item x="180"/>
        <item x="191"/>
        <item x="73"/>
        <item x="218"/>
        <item x="197"/>
        <item x="34"/>
        <item x="192"/>
        <item x="13"/>
        <item x="74"/>
        <item x="35"/>
        <item x="181"/>
        <item x="201"/>
        <item x="202"/>
        <item x="36"/>
        <item x="37"/>
        <item x="75"/>
        <item x="203"/>
        <item x="76"/>
        <item x="77"/>
        <item x="38"/>
        <item x="204"/>
        <item x="196"/>
        <item x="39"/>
        <item x="14"/>
        <item x="78"/>
        <item x="79"/>
        <item x="40"/>
        <item x="205"/>
        <item x="182"/>
        <item x="229"/>
        <item x="80"/>
        <item x="206"/>
        <item x="81"/>
        <item x="41"/>
        <item x="207"/>
        <item x="42"/>
        <item x="82"/>
        <item x="43"/>
        <item x="183"/>
        <item x="44"/>
        <item x="45"/>
        <item x="83"/>
        <item x="84"/>
        <item x="85"/>
        <item x="86"/>
        <item x="87"/>
        <item x="88"/>
        <item x="89"/>
        <item x="46"/>
        <item x="15"/>
        <item x="90"/>
        <item x="91"/>
        <item x="47"/>
        <item x="48"/>
        <item x="18"/>
        <item x="1"/>
        <item x="0"/>
        <item x="346"/>
        <item x="3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47">
        <item x="308"/>
        <item x="271"/>
        <item x="94"/>
        <item x="258"/>
        <item x="117"/>
        <item x="280"/>
        <item x="310"/>
        <item x="309"/>
        <item x="272"/>
        <item x="340"/>
        <item x="341"/>
        <item x="338"/>
        <item x="295"/>
        <item x="165"/>
        <item x="325"/>
        <item x="342"/>
        <item x="300"/>
        <item x="135"/>
        <item x="136"/>
        <item x="343"/>
        <item x="219"/>
        <item x="294"/>
        <item x="126"/>
        <item x="125"/>
        <item x="134"/>
        <item x="326"/>
        <item x="112"/>
        <item x="127"/>
        <item x="133"/>
        <item x="319"/>
        <item x="111"/>
        <item x="208"/>
        <item x="307"/>
        <item x="273"/>
        <item x="274"/>
        <item x="163"/>
        <item x="153"/>
        <item x="137"/>
        <item x="107"/>
        <item x="184"/>
        <item x="120"/>
        <item x="121"/>
        <item x="291"/>
        <item x="166"/>
        <item x="113"/>
        <item x="114"/>
        <item x="259"/>
        <item x="123"/>
        <item x="124"/>
        <item x="260"/>
        <item x="174"/>
        <item x="221"/>
        <item x="220"/>
        <item x="211"/>
        <item x="212"/>
        <item x="339"/>
        <item x="275"/>
        <item x="296"/>
        <item x="276"/>
        <item x="277"/>
        <item x="331"/>
        <item x="160"/>
        <item x="210"/>
        <item x="154"/>
        <item x="162"/>
        <item x="164"/>
        <item x="161"/>
        <item x="249"/>
        <item x="150"/>
        <item x="151"/>
        <item x="138"/>
        <item x="141"/>
        <item x="251"/>
        <item x="139"/>
        <item x="252"/>
        <item x="140"/>
        <item x="248"/>
        <item x="250"/>
        <item x="185"/>
        <item x="3"/>
        <item x="2"/>
        <item x="304"/>
        <item x="305"/>
        <item x="281"/>
        <item x="282"/>
        <item x="316"/>
        <item x="317"/>
        <item x="332"/>
        <item x="157"/>
        <item x="158"/>
        <item x="16"/>
        <item x="209"/>
        <item x="262"/>
        <item x="261"/>
        <item x="290"/>
        <item x="313"/>
        <item x="315"/>
        <item x="314"/>
        <item x="311"/>
        <item x="333"/>
        <item x="334"/>
        <item x="312"/>
        <item x="289"/>
        <item x="169"/>
        <item x="145"/>
        <item x="306"/>
        <item x="146"/>
        <item x="329"/>
        <item x="330"/>
        <item x="327"/>
        <item x="328"/>
        <item x="159"/>
        <item x="299"/>
        <item x="97"/>
        <item x="99"/>
        <item x="100"/>
        <item x="247"/>
        <item x="109"/>
        <item x="131"/>
        <item x="297"/>
        <item x="176"/>
        <item x="177"/>
        <item x="179"/>
        <item x="178"/>
        <item x="301"/>
        <item x="278"/>
        <item x="156"/>
        <item x="122"/>
        <item x="263"/>
        <item x="245"/>
        <item x="284"/>
        <item x="323"/>
        <item x="335"/>
        <item x="255"/>
        <item x="286"/>
        <item x="298"/>
        <item x="148"/>
        <item x="292"/>
        <item x="302"/>
        <item x="279"/>
        <item x="270"/>
        <item x="95"/>
        <item x="98"/>
        <item x="264"/>
        <item x="320"/>
        <item x="321"/>
        <item x="246"/>
        <item x="285"/>
        <item x="324"/>
        <item x="337"/>
        <item x="336"/>
        <item x="287"/>
        <item x="96"/>
        <item x="130"/>
        <item x="322"/>
        <item x="269"/>
        <item x="283"/>
        <item x="241"/>
        <item x="242"/>
        <item x="229"/>
        <item x="49"/>
        <item x="147"/>
        <item x="318"/>
        <item x="243"/>
        <item x="244"/>
        <item x="223"/>
        <item x="225"/>
        <item x="172"/>
        <item x="198"/>
        <item x="175"/>
        <item x="173"/>
        <item x="213"/>
        <item x="50"/>
        <item x="51"/>
        <item x="52"/>
        <item x="170"/>
        <item x="53"/>
        <item x="214"/>
        <item x="188"/>
        <item x="199"/>
        <item x="54"/>
        <item x="55"/>
        <item x="171"/>
        <item x="92"/>
        <item x="93"/>
        <item x="293"/>
        <item x="254"/>
        <item x="253"/>
        <item x="193"/>
        <item x="257"/>
        <item x="155"/>
        <item x="288"/>
        <item x="115"/>
        <item x="116"/>
        <item x="152"/>
        <item x="143"/>
        <item x="144"/>
        <item x="142"/>
        <item x="129"/>
        <item x="167"/>
        <item x="168"/>
        <item x="17"/>
        <item x="119"/>
        <item x="118"/>
        <item x="265"/>
        <item x="256"/>
        <item x="101"/>
        <item x="266"/>
        <item x="102"/>
        <item x="267"/>
        <item x="303"/>
        <item x="103"/>
        <item x="104"/>
        <item x="268"/>
        <item x="128"/>
        <item x="108"/>
        <item x="110"/>
        <item x="132"/>
        <item x="149"/>
        <item x="18"/>
        <item x="6"/>
        <item x="7"/>
        <item x="9"/>
        <item x="194"/>
        <item x="105"/>
        <item x="106"/>
        <item x="8"/>
        <item x="56"/>
        <item x="189"/>
        <item x="200"/>
        <item x="57"/>
        <item x="58"/>
        <item x="59"/>
        <item x="60"/>
        <item x="61"/>
        <item x="62"/>
        <item x="63"/>
        <item x="64"/>
        <item x="186"/>
        <item x="19"/>
        <item x="65"/>
        <item x="66"/>
        <item x="67"/>
        <item x="68"/>
        <item x="69"/>
        <item x="222"/>
        <item x="70"/>
        <item x="71"/>
        <item x="10"/>
        <item x="187"/>
        <item x="224"/>
        <item x="20"/>
        <item x="21"/>
        <item x="22"/>
        <item x="23"/>
        <item x="24"/>
        <item x="25"/>
        <item x="26"/>
        <item x="27"/>
        <item x="28"/>
        <item x="4"/>
        <item x="5"/>
        <item x="29"/>
        <item x="30"/>
        <item x="190"/>
        <item x="226"/>
        <item x="215"/>
        <item x="11"/>
        <item x="31"/>
        <item x="227"/>
        <item x="216"/>
        <item x="72"/>
        <item x="32"/>
        <item x="195"/>
        <item x="33"/>
        <item x="12"/>
        <item x="217"/>
        <item x="180"/>
        <item x="73"/>
        <item x="218"/>
        <item x="197"/>
        <item x="34"/>
        <item x="191"/>
        <item x="192"/>
        <item x="13"/>
        <item x="74"/>
        <item x="35"/>
        <item x="181"/>
        <item x="201"/>
        <item x="202"/>
        <item x="36"/>
        <item x="37"/>
        <item x="75"/>
        <item x="203"/>
        <item x="76"/>
        <item x="77"/>
        <item x="38"/>
        <item x="204"/>
        <item x="196"/>
        <item x="39"/>
        <item x="14"/>
        <item x="78"/>
        <item x="79"/>
        <item x="40"/>
        <item x="205"/>
        <item x="182"/>
        <item x="228"/>
        <item x="80"/>
        <item x="206"/>
        <item x="81"/>
        <item x="41"/>
        <item x="207"/>
        <item x="42"/>
        <item x="82"/>
        <item x="43"/>
        <item x="183"/>
        <item x="44"/>
        <item x="45"/>
        <item x="83"/>
        <item x="84"/>
        <item x="85"/>
        <item x="86"/>
        <item x="87"/>
        <item x="88"/>
        <item x="89"/>
        <item x="46"/>
        <item x="15"/>
        <item x="90"/>
        <item x="91"/>
        <item x="47"/>
        <item x="48"/>
        <item x="240"/>
        <item x="236"/>
        <item x="233"/>
        <item x="234"/>
        <item x="235"/>
        <item x="237"/>
        <item x="238"/>
        <item x="239"/>
        <item x="230"/>
        <item x="231"/>
        <item x="232"/>
        <item x="1"/>
        <item x="0"/>
        <item x="345"/>
        <item x="34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347">
    <i>
      <x/>
      <x v="2"/>
    </i>
    <i>
      <x v="1"/>
      <x v="3"/>
    </i>
    <i>
      <x v="2"/>
      <x v="1"/>
    </i>
    <i>
      <x v="3"/>
      <x/>
    </i>
    <i>
      <x v="4"/>
      <x v="159"/>
    </i>
    <i>
      <x v="5"/>
      <x v="7"/>
    </i>
    <i>
      <x v="6"/>
      <x v="4"/>
    </i>
    <i>
      <x v="7"/>
      <x v="5"/>
    </i>
    <i>
      <x v="8"/>
      <x v="6"/>
    </i>
    <i>
      <x v="9"/>
      <x v="80"/>
    </i>
    <i>
      <x v="10"/>
      <x v="79"/>
    </i>
    <i>
      <x v="11"/>
      <x v="76"/>
    </i>
    <i>
      <x v="12"/>
      <x v="11"/>
    </i>
    <i>
      <x v="13"/>
      <x v="65"/>
    </i>
    <i>
      <x v="14"/>
      <x v="64"/>
    </i>
    <i>
      <x v="15"/>
      <x v="66"/>
    </i>
    <i>
      <x v="16"/>
      <x v="15"/>
    </i>
    <i>
      <x v="17"/>
      <x v="13"/>
    </i>
    <i>
      <x v="18"/>
      <x v="14"/>
    </i>
    <i>
      <x v="19"/>
      <x v="28"/>
    </i>
    <i>
      <x v="20"/>
      <x v="20"/>
    </i>
    <i>
      <x v="21"/>
      <x v="21"/>
    </i>
    <i>
      <x v="22"/>
      <x v="27"/>
    </i>
    <i>
      <x v="23"/>
      <x v="16"/>
    </i>
    <i>
      <x v="24"/>
      <x v="29"/>
    </i>
    <i>
      <x v="25"/>
      <x v="30"/>
    </i>
    <i>
      <x v="26"/>
      <x v="24"/>
    </i>
    <i>
      <x v="27"/>
      <x v="23"/>
    </i>
    <i>
      <x v="28"/>
      <x v="19"/>
    </i>
    <i>
      <x v="29"/>
      <x v="17"/>
    </i>
    <i>
      <x v="30"/>
      <x v="18"/>
    </i>
    <i>
      <x v="31"/>
      <x v="22"/>
    </i>
    <i>
      <x v="32"/>
      <x v="31"/>
    </i>
    <i>
      <x v="33"/>
      <x v="32"/>
    </i>
    <i>
      <x v="34"/>
      <x v="25"/>
    </i>
    <i>
      <x v="35"/>
      <x v="26"/>
    </i>
    <i>
      <x v="36"/>
      <x v="8"/>
    </i>
    <i>
      <x v="37"/>
      <x v="12"/>
    </i>
    <i>
      <x v="38"/>
      <x v="52"/>
    </i>
    <i>
      <x v="39"/>
      <x v="68"/>
    </i>
    <i>
      <x v="40"/>
      <x v="67"/>
    </i>
    <i>
      <x v="41"/>
      <x v="69"/>
    </i>
    <i>
      <x v="42"/>
      <x v="70"/>
    </i>
    <i>
      <x v="43"/>
      <x v="77"/>
    </i>
    <i>
      <x v="44"/>
      <x v="72"/>
    </i>
    <i>
      <x v="45"/>
      <x v="71"/>
    </i>
    <i>
      <x v="46"/>
      <x v="73"/>
    </i>
    <i>
      <x v="47"/>
      <x v="75"/>
    </i>
    <i>
      <x v="48"/>
      <x v="74"/>
    </i>
    <i>
      <x v="49"/>
      <x v="57"/>
    </i>
    <i>
      <x v="50"/>
      <x v="33"/>
    </i>
    <i>
      <x v="51"/>
      <x v="34"/>
    </i>
    <i>
      <x v="52"/>
      <x v="36"/>
    </i>
    <i>
      <x v="53"/>
      <x v="38"/>
    </i>
    <i>
      <x v="54"/>
      <x v="37"/>
    </i>
    <i>
      <x v="55"/>
      <x v="43"/>
    </i>
    <i>
      <x v="56"/>
      <x v="44"/>
    </i>
    <i>
      <x v="57"/>
      <x v="45"/>
    </i>
    <i>
      <x v="58"/>
      <x v="46"/>
    </i>
    <i>
      <x v="59"/>
      <x v="35"/>
    </i>
    <i>
      <x v="60"/>
      <x v="47"/>
    </i>
    <i>
      <x v="61"/>
      <x v="48"/>
    </i>
    <i>
      <x v="62"/>
      <x v="49"/>
    </i>
    <i>
      <x v="63"/>
      <x v="39"/>
    </i>
    <i>
      <x v="64"/>
      <x v="50"/>
    </i>
    <i>
      <x v="65"/>
      <x v="51"/>
    </i>
    <i>
      <x v="66"/>
      <x v="61"/>
    </i>
    <i>
      <x v="67"/>
      <x v="55"/>
    </i>
    <i>
      <x v="68"/>
      <x v="56"/>
    </i>
    <i>
      <x v="69"/>
      <x v="63"/>
    </i>
    <i>
      <x v="70"/>
      <x v="40"/>
    </i>
    <i>
      <x v="71"/>
      <x v="42"/>
    </i>
    <i>
      <x v="72"/>
      <x v="41"/>
    </i>
    <i>
      <x v="73"/>
      <x v="58"/>
    </i>
    <i>
      <x v="74"/>
      <x v="59"/>
    </i>
    <i>
      <x v="75"/>
      <x v="60"/>
    </i>
    <i>
      <x v="76"/>
      <x v="62"/>
    </i>
    <i>
      <x v="77"/>
      <x v="9"/>
    </i>
    <i>
      <x v="78"/>
      <x v="10"/>
    </i>
    <i>
      <x v="79"/>
      <x v="339"/>
    </i>
    <i>
      <x v="80"/>
      <x v="340"/>
    </i>
    <i>
      <x v="81"/>
      <x v="341"/>
    </i>
    <i>
      <x v="82"/>
      <x v="53"/>
    </i>
    <i>
      <x v="83"/>
      <x v="54"/>
    </i>
    <i>
      <x v="84"/>
      <x v="126"/>
    </i>
    <i>
      <x v="85"/>
      <x v="125"/>
    </i>
    <i>
      <x v="86"/>
      <x v="141"/>
    </i>
    <i>
      <x v="87"/>
      <x v="140"/>
    </i>
    <i>
      <x v="88"/>
      <x v="139"/>
    </i>
    <i>
      <x v="89"/>
      <x v="152"/>
    </i>
    <i>
      <x v="90"/>
      <x v="113"/>
    </i>
    <i>
      <x v="91"/>
      <x v="93"/>
    </i>
    <i>
      <x v="92"/>
      <x v="83"/>
    </i>
    <i>
      <x v="93"/>
      <x v="84"/>
    </i>
    <i>
      <x v="94"/>
      <x v="92"/>
    </i>
    <i>
      <x v="95"/>
      <x v="109"/>
    </i>
    <i>
      <x v="96"/>
      <x v="110"/>
    </i>
    <i>
      <x v="97"/>
      <x v="107"/>
    </i>
    <i>
      <x v="98"/>
      <x v="108"/>
    </i>
    <i>
      <x v="99"/>
      <x v="81"/>
    </i>
    <i>
      <x v="100"/>
      <x v="82"/>
    </i>
    <i>
      <x v="101"/>
      <x v="124"/>
    </i>
    <i>
      <x v="102"/>
      <x v="138"/>
    </i>
    <i>
      <x v="103"/>
      <x v="88"/>
    </i>
    <i>
      <x v="104"/>
      <x v="89"/>
    </i>
    <i>
      <x v="105"/>
      <x v="137"/>
    </i>
    <i>
      <x v="106"/>
      <x v="103"/>
    </i>
    <i>
      <x v="107"/>
      <x v="90"/>
    </i>
    <i>
      <x v="108"/>
      <x v="104"/>
    </i>
    <i>
      <x v="109"/>
      <x v="102"/>
    </i>
    <i>
      <x v="110"/>
      <x v="106"/>
    </i>
    <i>
      <x v="111"/>
      <x v="155"/>
    </i>
    <i>
      <x v="112"/>
      <x v="111"/>
    </i>
    <i>
      <x v="113"/>
      <x v="120"/>
    </i>
    <i>
      <x v="114"/>
      <x v="105"/>
    </i>
    <i>
      <x v="115"/>
      <x v="122"/>
    </i>
    <i>
      <x v="116"/>
      <x v="121"/>
    </i>
    <i>
      <x v="117"/>
      <x v="123"/>
    </i>
    <i>
      <x v="118"/>
      <x v="85"/>
    </i>
    <i>
      <x v="119"/>
      <x v="86"/>
    </i>
    <i>
      <x v="120"/>
      <x v="94"/>
    </i>
    <i>
      <x v="121"/>
      <x v="87"/>
    </i>
    <i>
      <x v="122"/>
      <x v="98"/>
    </i>
    <i>
      <x v="123"/>
      <x v="99"/>
    </i>
    <i>
      <x v="124"/>
      <x v="100"/>
    </i>
    <i>
      <x v="125"/>
      <x v="101"/>
    </i>
    <i>
      <x v="126"/>
      <x v="78"/>
    </i>
    <i>
      <x v="127"/>
      <x v="95"/>
    </i>
    <i>
      <x v="128"/>
      <x v="97"/>
    </i>
    <i>
      <x v="129"/>
      <x v="96"/>
    </i>
    <i>
      <x v="130"/>
      <x v="91"/>
    </i>
    <i>
      <x v="131"/>
      <x v="127"/>
    </i>
    <i>
      <x v="132"/>
      <x v="129"/>
    </i>
    <i>
      <x v="133"/>
      <x v="134"/>
    </i>
    <i>
      <x v="134"/>
      <x v="130"/>
    </i>
    <i>
      <x v="135"/>
      <x v="128"/>
    </i>
    <i>
      <x v="136"/>
      <x v="131"/>
    </i>
    <i>
      <x v="137"/>
      <x v="132"/>
    </i>
    <i>
      <x v="138"/>
      <x v="142"/>
    </i>
    <i>
      <x v="139"/>
      <x v="146"/>
    </i>
    <i>
      <x v="140"/>
      <x v="151"/>
    </i>
    <i>
      <x v="141"/>
      <x v="147"/>
    </i>
    <i>
      <x v="142"/>
      <x v="143"/>
    </i>
    <i>
      <x v="143"/>
      <x v="148"/>
    </i>
    <i>
      <x v="144"/>
      <x v="150"/>
    </i>
    <i>
      <x v="145"/>
      <x v="144"/>
    </i>
    <i>
      <x v="146"/>
      <x v="145"/>
    </i>
    <i>
      <x v="147"/>
      <x v="149"/>
    </i>
    <i>
      <x v="148"/>
      <x v="153"/>
    </i>
    <i>
      <x v="149"/>
      <x v="154"/>
    </i>
    <i>
      <x v="150"/>
      <x v="114"/>
    </i>
    <i>
      <x v="151"/>
      <x v="115"/>
    </i>
    <i>
      <x v="152"/>
      <x v="116"/>
    </i>
    <i>
      <x v="153"/>
      <x v="117"/>
    </i>
    <i>
      <x v="154"/>
      <x v="118"/>
    </i>
    <i>
      <x v="155"/>
      <x v="119"/>
    </i>
    <i>
      <x v="156"/>
      <x v="156"/>
    </i>
    <i>
      <x v="157"/>
      <x v="135"/>
    </i>
    <i>
      <x v="158"/>
      <x v="133"/>
    </i>
    <i>
      <x v="159"/>
      <x v="136"/>
    </i>
    <i>
      <x v="160"/>
      <x v="122"/>
    </i>
    <i>
      <x v="161"/>
      <x v="112"/>
    </i>
    <i>
      <x v="162"/>
      <x v="162"/>
    </i>
    <i>
      <x v="163"/>
      <x v="161"/>
    </i>
    <i>
      <x v="164"/>
      <x v="187"/>
    </i>
    <i>
      <x v="165"/>
      <x v="185"/>
    </i>
    <i>
      <x v="166"/>
      <x v="165"/>
    </i>
    <i>
      <x v="167"/>
      <x v="166"/>
    </i>
    <i>
      <x v="168"/>
      <x v="167"/>
    </i>
    <i>
      <x v="169"/>
      <x v="168"/>
    </i>
    <i>
      <x v="170"/>
      <x v="169"/>
    </i>
    <i>
      <x v="171"/>
      <x v="170"/>
    </i>
    <i>
      <x v="172"/>
      <x v="171"/>
    </i>
    <i>
      <x v="173"/>
      <x v="172"/>
    </i>
    <i>
      <x v="174"/>
      <x v="173"/>
    </i>
    <i>
      <x v="175"/>
      <x v="174"/>
    </i>
    <i>
      <x v="176"/>
      <x v="175"/>
    </i>
    <i>
      <x v="177"/>
      <x v="176"/>
    </i>
    <i>
      <x v="178"/>
      <x v="177"/>
    </i>
    <i>
      <x v="179"/>
      <x v="178"/>
    </i>
    <i>
      <x v="180"/>
      <x v="179"/>
    </i>
    <i>
      <x v="181"/>
      <x v="180"/>
    </i>
    <i>
      <x v="182"/>
      <x v="181"/>
    </i>
    <i>
      <x v="183"/>
      <x v="182"/>
    </i>
    <i>
      <x v="184"/>
      <x v="183"/>
    </i>
    <i>
      <x v="185"/>
      <x v="160"/>
    </i>
    <i>
      <x v="186"/>
      <x v="184"/>
    </i>
    <i>
      <x v="187"/>
      <x v="191"/>
    </i>
    <i>
      <x v="188"/>
      <x v="190"/>
    </i>
    <i>
      <x v="189"/>
      <x v="192"/>
    </i>
    <i>
      <x v="190"/>
      <x v="193"/>
    </i>
    <i>
      <x v="191"/>
      <x v="194"/>
    </i>
    <i>
      <x v="192"/>
      <x v="333"/>
    </i>
    <i>
      <x v="193"/>
      <x v="334"/>
    </i>
    <i>
      <x v="194"/>
      <x v="335"/>
    </i>
    <i>
      <x v="195"/>
      <x v="332"/>
    </i>
    <i>
      <x v="196"/>
      <x v="336"/>
    </i>
    <i>
      <x v="197"/>
      <x v="337"/>
    </i>
    <i>
      <x v="198"/>
      <x v="338"/>
    </i>
    <i>
      <x v="199"/>
      <x v="186"/>
    </i>
    <i>
      <x v="200"/>
      <x v="201"/>
    </i>
    <i>
      <x v="201"/>
      <x v="331"/>
    </i>
    <i>
      <x v="202"/>
      <x v="199"/>
    </i>
    <i>
      <x v="203"/>
      <x v="200"/>
    </i>
    <i>
      <x v="204"/>
      <x v="198"/>
    </i>
    <i>
      <x v="205"/>
      <x v="196"/>
    </i>
    <i>
      <x v="206"/>
      <x v="197"/>
    </i>
    <i>
      <x v="207"/>
      <x v="195"/>
    </i>
    <i>
      <x v="208"/>
      <x v="189"/>
    </i>
    <i>
      <x v="209"/>
      <x v="203"/>
    </i>
    <i>
      <x v="210"/>
      <x v="205"/>
    </i>
    <i>
      <x v="211"/>
      <x v="204"/>
    </i>
    <i>
      <x v="212"/>
      <x v="202"/>
    </i>
    <i>
      <x v="213"/>
      <x v="157"/>
    </i>
    <i>
      <x v="214"/>
      <x v="158"/>
    </i>
    <i>
      <x v="215"/>
      <x v="206"/>
    </i>
    <i>
      <x v="216"/>
      <x v="207"/>
    </i>
    <i>
      <x v="217"/>
      <x v="208"/>
    </i>
    <i>
      <x v="218"/>
      <x v="209"/>
    </i>
    <i>
      <x v="219"/>
      <x v="211"/>
    </i>
    <i>
      <x v="220"/>
      <x v="212"/>
    </i>
    <i>
      <x v="221"/>
      <x v="213"/>
    </i>
    <i>
      <x v="222"/>
      <x v="214"/>
    </i>
    <i>
      <x v="223"/>
      <x v="210"/>
    </i>
    <i>
      <x v="224"/>
      <x v="163"/>
    </i>
    <i>
      <x v="225"/>
      <x v="164"/>
    </i>
    <i>
      <x v="226"/>
      <x v="215"/>
    </i>
    <i>
      <x v="227"/>
      <x v="216"/>
    </i>
    <i>
      <x v="228"/>
      <x v="217"/>
    </i>
    <i>
      <x v="229"/>
      <x v="218"/>
    </i>
    <i>
      <x v="230"/>
      <x v="220"/>
    </i>
    <i>
      <x v="231"/>
      <x v="221"/>
    </i>
    <i>
      <x v="232"/>
      <x v="222"/>
    </i>
    <i>
      <x v="233"/>
      <x v="224"/>
    </i>
    <i>
      <x v="234"/>
      <x v="223"/>
    </i>
    <i>
      <x v="235"/>
      <x v="225"/>
    </i>
    <i>
      <x v="236"/>
      <x v="226"/>
    </i>
    <i>
      <x v="237"/>
      <x v="188"/>
    </i>
    <i>
      <x v="238"/>
      <x v="227"/>
    </i>
    <i>
      <x v="239"/>
      <x v="228"/>
    </i>
    <i>
      <x v="240"/>
      <x v="229"/>
    </i>
    <i>
      <x v="241"/>
      <x v="230"/>
    </i>
    <i>
      <x v="242"/>
      <x v="231"/>
    </i>
    <i>
      <x v="243"/>
      <x v="232"/>
    </i>
    <i>
      <x v="244"/>
      <x v="233"/>
    </i>
    <i>
      <x v="245"/>
      <x v="234"/>
    </i>
    <i>
      <x v="246"/>
      <x v="235"/>
    </i>
    <i>
      <x v="247"/>
      <x v="236"/>
    </i>
    <i>
      <x v="248"/>
      <x v="237"/>
    </i>
    <i>
      <x v="249"/>
      <x v="238"/>
    </i>
    <i>
      <x v="250"/>
      <x v="239"/>
    </i>
    <i>
      <x v="251"/>
      <x v="240"/>
    </i>
    <i>
      <x v="252"/>
      <x v="241"/>
    </i>
    <i>
      <x v="253"/>
      <x v="242"/>
    </i>
    <i>
      <x v="254"/>
      <x v="243"/>
    </i>
    <i>
      <x v="255"/>
      <x v="244"/>
    </i>
    <i>
      <x v="256"/>
      <x v="245"/>
    </i>
    <i>
      <x v="257"/>
      <x v="246"/>
    </i>
    <i>
      <x v="258"/>
      <x v="247"/>
    </i>
    <i>
      <x v="259"/>
      <x v="248"/>
    </i>
    <i>
      <x v="260"/>
      <x v="249"/>
    </i>
    <i>
      <x v="261"/>
      <x v="250"/>
    </i>
    <i>
      <x v="262"/>
      <x v="260"/>
    </i>
    <i>
      <x v="263"/>
      <x v="261"/>
    </i>
    <i>
      <x v="264"/>
      <x v="251"/>
    </i>
    <i>
      <x v="265"/>
      <x v="252"/>
    </i>
    <i>
      <x v="266"/>
      <x v="253"/>
    </i>
    <i>
      <x v="267"/>
      <x v="254"/>
    </i>
    <i>
      <x v="268"/>
      <x v="255"/>
    </i>
    <i>
      <x v="269"/>
      <x v="256"/>
    </i>
    <i>
      <x v="270"/>
      <x v="257"/>
    </i>
    <i>
      <x v="271"/>
      <x v="258"/>
    </i>
    <i>
      <x v="272"/>
      <x v="259"/>
    </i>
    <i>
      <x v="273"/>
      <x v="262"/>
    </i>
    <i>
      <x v="274"/>
      <x v="263"/>
    </i>
    <i>
      <x v="275"/>
      <x v="264"/>
    </i>
    <i>
      <x v="276"/>
      <x v="265"/>
    </i>
    <i>
      <x v="277"/>
      <x v="266"/>
    </i>
    <i>
      <x v="278"/>
      <x v="267"/>
    </i>
    <i>
      <x v="279"/>
      <x v="268"/>
    </i>
    <i>
      <x v="280"/>
      <x v="269"/>
    </i>
    <i>
      <x v="281"/>
      <x v="270"/>
    </i>
    <i>
      <x v="282"/>
      <x v="271"/>
    </i>
    <i>
      <x v="283"/>
      <x v="272"/>
    </i>
    <i>
      <x v="284"/>
      <x v="273"/>
    </i>
    <i>
      <x v="285"/>
      <x v="274"/>
    </i>
    <i>
      <x v="286"/>
      <x v="275"/>
    </i>
    <i>
      <x v="287"/>
      <x v="276"/>
    </i>
    <i>
      <x v="288"/>
      <x v="277"/>
    </i>
    <i>
      <x v="289"/>
      <x v="282"/>
    </i>
    <i>
      <x v="290"/>
      <x v="278"/>
    </i>
    <i>
      <x v="291"/>
      <x v="279"/>
    </i>
    <i>
      <x v="292"/>
      <x v="280"/>
    </i>
    <i>
      <x v="293"/>
      <x v="281"/>
    </i>
    <i>
      <x v="294"/>
      <x v="283"/>
    </i>
    <i>
      <x v="295"/>
      <x v="284"/>
    </i>
    <i>
      <x v="296"/>
      <x v="285"/>
    </i>
    <i>
      <x v="297"/>
      <x v="286"/>
    </i>
    <i>
      <x v="298"/>
      <x v="287"/>
    </i>
    <i>
      <x v="299"/>
      <x v="288"/>
    </i>
    <i>
      <x v="300"/>
      <x v="289"/>
    </i>
    <i>
      <x v="301"/>
      <x v="290"/>
    </i>
    <i>
      <x v="302"/>
      <x v="291"/>
    </i>
    <i>
      <x v="303"/>
      <x v="292"/>
    </i>
    <i>
      <x v="304"/>
      <x v="293"/>
    </i>
    <i>
      <x v="305"/>
      <x v="294"/>
    </i>
    <i>
      <x v="306"/>
      <x v="295"/>
    </i>
    <i>
      <x v="307"/>
      <x v="296"/>
    </i>
    <i>
      <x v="308"/>
      <x v="297"/>
    </i>
    <i>
      <x v="309"/>
      <x v="298"/>
    </i>
    <i>
      <x v="310"/>
      <x v="299"/>
    </i>
    <i>
      <x v="311"/>
      <x v="300"/>
    </i>
    <i>
      <x v="312"/>
      <x v="301"/>
    </i>
    <i>
      <x v="313"/>
      <x v="302"/>
    </i>
    <i>
      <x v="314"/>
      <x v="303"/>
    </i>
    <i>
      <x v="315"/>
      <x v="304"/>
    </i>
    <i>
      <x v="316"/>
      <x v="305"/>
    </i>
    <i>
      <x v="317"/>
      <x v="306"/>
    </i>
    <i>
      <x v="318"/>
      <x v="307"/>
    </i>
    <i>
      <x v="319"/>
      <x v="308"/>
    </i>
    <i>
      <x v="320"/>
      <x v="309"/>
    </i>
    <i>
      <x v="321"/>
      <x v="310"/>
    </i>
    <i>
      <x v="322"/>
      <x v="311"/>
    </i>
    <i>
      <x v="323"/>
      <x v="312"/>
    </i>
    <i>
      <x v="324"/>
      <x v="313"/>
    </i>
    <i>
      <x v="325"/>
      <x v="314"/>
    </i>
    <i>
      <x v="326"/>
      <x v="315"/>
    </i>
    <i>
      <x v="327"/>
      <x v="316"/>
    </i>
    <i>
      <x v="328"/>
      <x v="317"/>
    </i>
    <i>
      <x v="329"/>
      <x v="318"/>
    </i>
    <i>
      <x v="330"/>
      <x v="319"/>
    </i>
    <i>
      <x v="331"/>
      <x v="320"/>
    </i>
    <i>
      <x v="332"/>
      <x v="321"/>
    </i>
    <i>
      <x v="333"/>
      <x v="322"/>
    </i>
    <i>
      <x v="334"/>
      <x v="323"/>
    </i>
    <i>
      <x v="335"/>
      <x v="324"/>
    </i>
    <i>
      <x v="336"/>
      <x v="325"/>
    </i>
    <i>
      <x v="337"/>
      <x v="326"/>
    </i>
    <i>
      <x v="338"/>
      <x v="327"/>
    </i>
    <i>
      <x v="339"/>
      <x v="328"/>
    </i>
    <i>
      <x v="340"/>
      <x v="329"/>
    </i>
    <i>
      <x v="341"/>
      <x v="330"/>
    </i>
    <i>
      <x v="342"/>
      <x v="219"/>
    </i>
    <i>
      <x v="343"/>
      <x v="342"/>
    </i>
    <i>
      <x v="344"/>
      <x v="343"/>
    </i>
    <i>
      <x v="345"/>
      <x v="344"/>
    </i>
    <i>
      <x v="346"/>
      <x v="345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Julio Cantidad" fld="20" baseField="0" baseItem="0"/>
    <dataField name="Suma de Julio Valor" fld="21" baseField="0" baseItem="0"/>
    <dataField name="Suma de Agosto Cantidad" fld="22" baseField="0" baseItem="0"/>
    <dataField name="Suma de Agosto Valor" fld="23" baseField="0" baseItem="0"/>
    <dataField name="Suma de Septiembre Cantidad" fld="24" baseField="0" baseItem="0"/>
    <dataField name="Suma de Septiembre Valor" fld="25" baseField="0" baseItem="0"/>
    <dataField name="Suma de Promedio 6M Cantidad" fld="17" baseField="0" baseItem="0"/>
    <dataField name="Suma de Promedio 6M Valor" fld="18" baseField="0" baseItem="0"/>
  </dataFields>
  <formats count="2">
    <format dxfId="0">
      <pivotArea outline="0" collapsedLevelsAreSubtotals="1" fieldPosition="0"/>
    </format>
    <format dxfId="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8D9A-5E69-4C77-9E0F-FAC31C9772F1}">
  <dimension ref="A3:J350"/>
  <sheetViews>
    <sheetView tabSelected="1" zoomScale="80" zoomScaleNormal="80" workbookViewId="0">
      <selection activeCell="D18" sqref="D18"/>
    </sheetView>
  </sheetViews>
  <sheetFormatPr baseColWidth="10" defaultRowHeight="14.25" x14ac:dyDescent="0.45"/>
  <cols>
    <col min="1" max="1" width="25.73046875" customWidth="1"/>
    <col min="2" max="2" width="47.33203125" bestFit="1" customWidth="1"/>
    <col min="3" max="3" width="21" style="2" bestFit="1" customWidth="1"/>
    <col min="4" max="4" width="18" style="2" bestFit="1" customWidth="1"/>
    <col min="5" max="5" width="23" style="2" bestFit="1" customWidth="1"/>
    <col min="6" max="6" width="20" style="2" bestFit="1" customWidth="1"/>
    <col min="7" max="7" width="26.796875" style="2" bestFit="1" customWidth="1"/>
    <col min="8" max="8" width="23.796875" style="2" bestFit="1" customWidth="1"/>
    <col min="9" max="9" width="28.3984375" style="2" bestFit="1" customWidth="1"/>
    <col min="10" max="10" width="25.3984375" style="2" bestFit="1" customWidth="1"/>
  </cols>
  <sheetData>
    <row r="3" spans="1:10" x14ac:dyDescent="0.45">
      <c r="A3" t="s">
        <v>0</v>
      </c>
      <c r="B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45">
      <c r="A4" t="s">
        <v>10</v>
      </c>
      <c r="B4" t="s">
        <v>11</v>
      </c>
      <c r="C4" s="1">
        <v>593959</v>
      </c>
      <c r="D4" s="1">
        <v>46933259.074632339</v>
      </c>
      <c r="E4" s="1">
        <v>593024</v>
      </c>
      <c r="F4" s="1">
        <v>46856689.890668407</v>
      </c>
      <c r="G4" s="1">
        <v>591661</v>
      </c>
      <c r="H4" s="1">
        <v>46739472.83787927</v>
      </c>
      <c r="I4" s="1">
        <v>416365</v>
      </c>
      <c r="J4" s="1">
        <v>33059233</v>
      </c>
    </row>
    <row r="5" spans="1:10" x14ac:dyDescent="0.45">
      <c r="A5" t="s">
        <v>12</v>
      </c>
      <c r="B5" t="s">
        <v>13</v>
      </c>
      <c r="C5" s="1">
        <v>16000</v>
      </c>
      <c r="D5" s="1">
        <v>1425958.0952380951</v>
      </c>
      <c r="E5" s="1">
        <v>16000</v>
      </c>
      <c r="F5" s="1">
        <v>1425958.0952380951</v>
      </c>
      <c r="G5" s="1">
        <v>16000</v>
      </c>
      <c r="H5" s="1">
        <v>1425958.0952380951</v>
      </c>
      <c r="I5" s="1">
        <v>126</v>
      </c>
      <c r="J5" s="1">
        <v>561471</v>
      </c>
    </row>
    <row r="6" spans="1:10" x14ac:dyDescent="0.45">
      <c r="A6" t="s">
        <v>14</v>
      </c>
      <c r="B6" t="s">
        <v>15</v>
      </c>
      <c r="C6" s="1">
        <v>13000</v>
      </c>
      <c r="D6" s="1">
        <v>1235000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285000</v>
      </c>
    </row>
    <row r="7" spans="1:10" x14ac:dyDescent="0.45">
      <c r="A7" t="s">
        <v>16</v>
      </c>
      <c r="B7" t="s">
        <v>17</v>
      </c>
      <c r="C7" s="1">
        <v>1300</v>
      </c>
      <c r="D7" s="1">
        <v>153400</v>
      </c>
      <c r="E7" s="1">
        <v>1300</v>
      </c>
      <c r="F7" s="1">
        <v>153400</v>
      </c>
      <c r="G7" s="1">
        <v>1300</v>
      </c>
      <c r="H7" s="1">
        <v>153400</v>
      </c>
      <c r="I7" s="1">
        <v>1000</v>
      </c>
      <c r="J7" s="1">
        <v>118000</v>
      </c>
    </row>
    <row r="8" spans="1:10" x14ac:dyDescent="0.45">
      <c r="A8" t="s">
        <v>18</v>
      </c>
      <c r="B8" t="s">
        <v>19</v>
      </c>
      <c r="C8" s="1">
        <v>62747</v>
      </c>
      <c r="D8" s="1">
        <v>3490903.9365404933</v>
      </c>
      <c r="E8" s="1">
        <v>62747</v>
      </c>
      <c r="F8" s="1">
        <v>3490903.9365404933</v>
      </c>
      <c r="G8" s="1">
        <v>62747</v>
      </c>
      <c r="H8" s="1">
        <v>3490903.9365404933</v>
      </c>
      <c r="I8" s="1">
        <v>48267</v>
      </c>
      <c r="J8" s="1">
        <v>2685315</v>
      </c>
    </row>
    <row r="9" spans="1:10" x14ac:dyDescent="0.45">
      <c r="A9" t="s">
        <v>20</v>
      </c>
      <c r="B9" t="s">
        <v>21</v>
      </c>
      <c r="C9" s="1">
        <v>1517</v>
      </c>
      <c r="D9" s="1">
        <v>178955.30334190233</v>
      </c>
      <c r="E9" s="1">
        <v>1517</v>
      </c>
      <c r="F9" s="1">
        <v>178955.30334190233</v>
      </c>
      <c r="G9" s="1">
        <v>1517</v>
      </c>
      <c r="H9" s="1">
        <v>178955.30334190233</v>
      </c>
      <c r="I9" s="1">
        <v>1167</v>
      </c>
      <c r="J9" s="1">
        <v>137667</v>
      </c>
    </row>
    <row r="10" spans="1:10" x14ac:dyDescent="0.45">
      <c r="A10" t="s">
        <v>22</v>
      </c>
      <c r="B10" t="s">
        <v>23</v>
      </c>
      <c r="C10" s="1">
        <v>0</v>
      </c>
      <c r="D10" s="1">
        <v>0</v>
      </c>
      <c r="E10" s="1">
        <v>0</v>
      </c>
      <c r="F10" s="1">
        <v>0</v>
      </c>
      <c r="G10" s="1">
        <v>20000</v>
      </c>
      <c r="H10" s="1">
        <v>1579882.1377768747</v>
      </c>
      <c r="I10" s="1">
        <v>4921</v>
      </c>
      <c r="J10" s="1">
        <v>388730</v>
      </c>
    </row>
    <row r="11" spans="1:10" x14ac:dyDescent="0.45">
      <c r="A11" t="s">
        <v>24</v>
      </c>
      <c r="B11" t="s">
        <v>25</v>
      </c>
      <c r="C11" s="1">
        <v>5117</v>
      </c>
      <c r="D11" s="1">
        <v>639544.41732283472</v>
      </c>
      <c r="E11" s="1">
        <v>5117</v>
      </c>
      <c r="F11" s="1">
        <v>639544.41732283472</v>
      </c>
      <c r="G11" s="1">
        <v>5117</v>
      </c>
      <c r="H11" s="1">
        <v>639544.41732283472</v>
      </c>
      <c r="I11" s="1">
        <v>3937</v>
      </c>
      <c r="J11" s="1">
        <v>492063</v>
      </c>
    </row>
    <row r="12" spans="1:10" x14ac:dyDescent="0.45">
      <c r="A12" t="s">
        <v>26</v>
      </c>
      <c r="B12" t="s">
        <v>27</v>
      </c>
      <c r="C12" s="1">
        <v>1517</v>
      </c>
      <c r="D12" s="1">
        <v>178955.30334190233</v>
      </c>
      <c r="E12" s="1">
        <v>1517</v>
      </c>
      <c r="F12" s="1">
        <v>178955.30334190233</v>
      </c>
      <c r="G12" s="1">
        <v>1517</v>
      </c>
      <c r="H12" s="1">
        <v>178955.30334190233</v>
      </c>
      <c r="I12" s="1">
        <v>1167</v>
      </c>
      <c r="J12" s="1">
        <v>137667</v>
      </c>
    </row>
    <row r="13" spans="1:10" x14ac:dyDescent="0.45">
      <c r="A13" t="s">
        <v>28</v>
      </c>
      <c r="B13" t="s">
        <v>29</v>
      </c>
      <c r="C13" s="1">
        <v>217</v>
      </c>
      <c r="D13" s="1">
        <v>98537.491017964072</v>
      </c>
      <c r="E13" s="1">
        <v>217</v>
      </c>
      <c r="F13" s="1">
        <v>98537.491017964072</v>
      </c>
      <c r="G13" s="1">
        <v>217</v>
      </c>
      <c r="H13" s="1">
        <v>98537.491017964072</v>
      </c>
      <c r="I13" s="1">
        <v>167</v>
      </c>
      <c r="J13" s="1">
        <v>75833</v>
      </c>
    </row>
    <row r="14" spans="1:10" x14ac:dyDescent="0.45">
      <c r="A14" t="s">
        <v>30</v>
      </c>
      <c r="B14" t="s">
        <v>31</v>
      </c>
      <c r="C14" s="1">
        <v>437</v>
      </c>
      <c r="D14" s="1">
        <v>198736.15476190476</v>
      </c>
      <c r="E14" s="1">
        <v>437</v>
      </c>
      <c r="F14" s="1">
        <v>198736.15476190476</v>
      </c>
      <c r="G14" s="1">
        <v>437</v>
      </c>
      <c r="H14" s="1">
        <v>198736.15476190476</v>
      </c>
      <c r="I14" s="1">
        <v>336</v>
      </c>
      <c r="J14" s="1">
        <v>152804</v>
      </c>
    </row>
    <row r="15" spans="1:10" x14ac:dyDescent="0.45">
      <c r="A15" t="s">
        <v>32</v>
      </c>
      <c r="B15" t="s">
        <v>33</v>
      </c>
      <c r="C15" s="1">
        <v>14625</v>
      </c>
      <c r="D15" s="1">
        <v>2062125</v>
      </c>
      <c r="E15" s="1">
        <v>14625</v>
      </c>
      <c r="F15" s="1">
        <v>2062125</v>
      </c>
      <c r="G15" s="1">
        <v>14625</v>
      </c>
      <c r="H15" s="1">
        <v>2062125</v>
      </c>
      <c r="I15" s="1">
        <v>11250</v>
      </c>
      <c r="J15" s="1">
        <v>1586250</v>
      </c>
    </row>
    <row r="16" spans="1:10" x14ac:dyDescent="0.45">
      <c r="A16" t="s">
        <v>34</v>
      </c>
      <c r="B16" t="s">
        <v>35</v>
      </c>
      <c r="C16" s="1">
        <v>3000</v>
      </c>
      <c r="D16" s="1">
        <v>1188147.5959746554</v>
      </c>
      <c r="E16" s="1">
        <v>3000</v>
      </c>
      <c r="F16" s="1">
        <v>1188147.5959746554</v>
      </c>
      <c r="G16" s="1">
        <v>3000</v>
      </c>
      <c r="H16" s="1">
        <v>1188147.5959746554</v>
      </c>
      <c r="I16" s="1">
        <v>2683</v>
      </c>
      <c r="J16" s="1">
        <v>1062600</v>
      </c>
    </row>
    <row r="17" spans="1:10" x14ac:dyDescent="0.45">
      <c r="A17" t="s">
        <v>36</v>
      </c>
      <c r="B17" t="s">
        <v>37</v>
      </c>
      <c r="C17" s="1">
        <v>11</v>
      </c>
      <c r="D17" s="1">
        <v>15640.625</v>
      </c>
      <c r="E17" s="1">
        <v>11</v>
      </c>
      <c r="F17" s="1">
        <v>15640.625</v>
      </c>
      <c r="G17" s="1">
        <v>11</v>
      </c>
      <c r="H17" s="1">
        <v>15640.625</v>
      </c>
      <c r="I17" s="1">
        <v>8</v>
      </c>
      <c r="J17" s="1">
        <v>11375</v>
      </c>
    </row>
    <row r="18" spans="1:10" x14ac:dyDescent="0.45">
      <c r="A18" t="s">
        <v>38</v>
      </c>
      <c r="B18" t="s">
        <v>39</v>
      </c>
      <c r="C18" s="1">
        <v>32</v>
      </c>
      <c r="D18" s="1">
        <v>33665.279999999999</v>
      </c>
      <c r="E18" s="1">
        <v>32</v>
      </c>
      <c r="F18" s="1">
        <v>33665.279999999999</v>
      </c>
      <c r="G18" s="1">
        <v>32</v>
      </c>
      <c r="H18" s="1">
        <v>33665.279999999999</v>
      </c>
      <c r="I18" s="1">
        <v>25</v>
      </c>
      <c r="J18" s="1">
        <v>26301</v>
      </c>
    </row>
    <row r="19" spans="1:10" x14ac:dyDescent="0.45">
      <c r="A19" t="s">
        <v>40</v>
      </c>
      <c r="B19" t="s">
        <v>41</v>
      </c>
      <c r="C19" s="1">
        <v>38</v>
      </c>
      <c r="D19" s="1">
        <v>36331</v>
      </c>
      <c r="E19" s="1">
        <v>38</v>
      </c>
      <c r="F19" s="1">
        <v>36331</v>
      </c>
      <c r="G19" s="1">
        <v>38</v>
      </c>
      <c r="H19" s="1">
        <v>36331</v>
      </c>
      <c r="I19" s="1">
        <v>28</v>
      </c>
      <c r="J19" s="1">
        <v>26767</v>
      </c>
    </row>
    <row r="20" spans="1:10" x14ac:dyDescent="0.45">
      <c r="A20" t="s">
        <v>42</v>
      </c>
      <c r="B20" t="s">
        <v>43</v>
      </c>
      <c r="C20" s="1">
        <v>0</v>
      </c>
      <c r="D20" s="1">
        <v>0</v>
      </c>
      <c r="E20" s="1">
        <v>2808</v>
      </c>
      <c r="F20" s="1">
        <v>716040</v>
      </c>
      <c r="G20" s="1">
        <v>2808</v>
      </c>
      <c r="H20" s="1">
        <v>716040</v>
      </c>
      <c r="I20" s="1">
        <v>2160</v>
      </c>
      <c r="J20" s="1">
        <v>550800</v>
      </c>
    </row>
    <row r="21" spans="1:10" x14ac:dyDescent="0.45">
      <c r="A21" t="s">
        <v>44</v>
      </c>
      <c r="B21" t="s">
        <v>45</v>
      </c>
      <c r="C21" s="1">
        <v>12898</v>
      </c>
      <c r="D21" s="1">
        <v>3274884.6956521738</v>
      </c>
      <c r="E21" s="1">
        <v>12898</v>
      </c>
      <c r="F21" s="1">
        <v>3274884.6956521738</v>
      </c>
      <c r="G21" s="1">
        <v>12898</v>
      </c>
      <c r="H21" s="1">
        <v>3274884.6956521738</v>
      </c>
      <c r="I21" s="1">
        <v>12309</v>
      </c>
      <c r="J21" s="1">
        <v>3125540</v>
      </c>
    </row>
    <row r="22" spans="1:10" x14ac:dyDescent="0.45">
      <c r="A22" t="s">
        <v>46</v>
      </c>
      <c r="B22" t="s">
        <v>47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720</v>
      </c>
      <c r="J22" s="1">
        <v>182880</v>
      </c>
    </row>
    <row r="23" spans="1:10" x14ac:dyDescent="0.45">
      <c r="A23" t="s">
        <v>48</v>
      </c>
      <c r="B23" t="s">
        <v>49</v>
      </c>
      <c r="C23" s="1">
        <v>7130</v>
      </c>
      <c r="D23" s="1">
        <v>2161518.9685314684</v>
      </c>
      <c r="E23" s="1">
        <v>7130</v>
      </c>
      <c r="F23" s="1">
        <v>2161518.9685314684</v>
      </c>
      <c r="G23" s="1">
        <v>7130</v>
      </c>
      <c r="H23" s="1">
        <v>2161518.9685314684</v>
      </c>
      <c r="I23" s="1">
        <v>5485</v>
      </c>
      <c r="J23" s="1">
        <v>1662805</v>
      </c>
    </row>
    <row r="24" spans="1:10" x14ac:dyDescent="0.45">
      <c r="A24" t="s">
        <v>50</v>
      </c>
      <c r="B24" t="s">
        <v>51</v>
      </c>
      <c r="C24" s="1">
        <v>88</v>
      </c>
      <c r="D24" s="1">
        <v>21824</v>
      </c>
      <c r="E24" s="1">
        <v>88</v>
      </c>
      <c r="F24" s="1">
        <v>21824</v>
      </c>
      <c r="G24" s="1">
        <v>88</v>
      </c>
      <c r="H24" s="1">
        <v>21824</v>
      </c>
      <c r="I24" s="1">
        <v>68</v>
      </c>
      <c r="J24" s="1">
        <v>16864</v>
      </c>
    </row>
    <row r="25" spans="1:10" x14ac:dyDescent="0.45">
      <c r="A25" t="s">
        <v>52</v>
      </c>
      <c r="B25" t="s">
        <v>53</v>
      </c>
      <c r="C25" s="1">
        <v>344</v>
      </c>
      <c r="D25" s="1">
        <v>226780.69696969696</v>
      </c>
      <c r="E25" s="1">
        <v>344</v>
      </c>
      <c r="F25" s="1">
        <v>226780.69696969696</v>
      </c>
      <c r="G25" s="1">
        <v>344</v>
      </c>
      <c r="H25" s="1">
        <v>226780.69696969696</v>
      </c>
      <c r="I25" s="1">
        <v>264</v>
      </c>
      <c r="J25" s="1">
        <v>174041</v>
      </c>
    </row>
    <row r="26" spans="1:10" x14ac:dyDescent="0.45">
      <c r="A26" t="s">
        <v>54</v>
      </c>
      <c r="B26" t="s">
        <v>55</v>
      </c>
      <c r="C26" s="1">
        <v>15060</v>
      </c>
      <c r="D26" s="1">
        <v>5158043</v>
      </c>
      <c r="E26" s="1">
        <v>15060</v>
      </c>
      <c r="F26" s="1">
        <v>5158043</v>
      </c>
      <c r="G26" s="1">
        <v>15060</v>
      </c>
      <c r="H26" s="1">
        <v>5158043</v>
      </c>
      <c r="I26" s="1">
        <v>11585</v>
      </c>
      <c r="J26" s="1">
        <v>3967845</v>
      </c>
    </row>
    <row r="27" spans="1:10" x14ac:dyDescent="0.45">
      <c r="A27" t="s">
        <v>56</v>
      </c>
      <c r="B27" t="s">
        <v>57</v>
      </c>
      <c r="C27" s="1">
        <v>4680</v>
      </c>
      <c r="D27" s="1">
        <v>2527200</v>
      </c>
      <c r="E27" s="1">
        <v>4680</v>
      </c>
      <c r="F27" s="1">
        <v>2527200</v>
      </c>
      <c r="G27" s="1">
        <v>4680</v>
      </c>
      <c r="H27" s="1">
        <v>2527200</v>
      </c>
      <c r="I27" s="1">
        <v>3600</v>
      </c>
      <c r="J27" s="1">
        <v>1944000</v>
      </c>
    </row>
    <row r="28" spans="1:10" x14ac:dyDescent="0.45">
      <c r="A28" t="s">
        <v>58</v>
      </c>
      <c r="B28" t="s">
        <v>59</v>
      </c>
      <c r="C28" s="1">
        <v>842</v>
      </c>
      <c r="D28" s="1">
        <v>581480.26234567899</v>
      </c>
      <c r="E28" s="1">
        <v>842</v>
      </c>
      <c r="F28" s="1">
        <v>581480.26234567899</v>
      </c>
      <c r="G28" s="1">
        <v>842</v>
      </c>
      <c r="H28" s="1">
        <v>581480.26234567899</v>
      </c>
      <c r="I28" s="1">
        <v>648</v>
      </c>
      <c r="J28" s="1">
        <v>447505</v>
      </c>
    </row>
    <row r="29" spans="1:10" x14ac:dyDescent="0.45">
      <c r="A29" t="s">
        <v>60</v>
      </c>
      <c r="B29" t="s">
        <v>61</v>
      </c>
      <c r="C29" s="1">
        <v>11276</v>
      </c>
      <c r="D29" s="1">
        <v>5598750.087031723</v>
      </c>
      <c r="E29" s="1">
        <v>11276</v>
      </c>
      <c r="F29" s="1">
        <v>5598750.087031723</v>
      </c>
      <c r="G29" s="1">
        <v>11276</v>
      </c>
      <c r="H29" s="1">
        <v>5598750.087031723</v>
      </c>
      <c r="I29" s="1">
        <v>8583</v>
      </c>
      <c r="J29" s="1">
        <v>4266494</v>
      </c>
    </row>
    <row r="30" spans="1:10" x14ac:dyDescent="0.45">
      <c r="A30" t="s">
        <v>62</v>
      </c>
      <c r="B30" t="s">
        <v>63</v>
      </c>
      <c r="C30" s="1">
        <v>45756</v>
      </c>
      <c r="D30" s="1">
        <v>15476128.176833253</v>
      </c>
      <c r="E30" s="1">
        <v>45756</v>
      </c>
      <c r="F30" s="1">
        <v>15476128.176833253</v>
      </c>
      <c r="G30" s="1">
        <v>45756</v>
      </c>
      <c r="H30" s="1">
        <v>15476128.176833253</v>
      </c>
      <c r="I30" s="1">
        <v>35197</v>
      </c>
      <c r="J30" s="1">
        <v>11904740</v>
      </c>
    </row>
    <row r="31" spans="1:10" x14ac:dyDescent="0.45">
      <c r="A31" t="s">
        <v>64</v>
      </c>
      <c r="B31" t="s">
        <v>65</v>
      </c>
      <c r="C31" s="1">
        <v>4719</v>
      </c>
      <c r="D31" s="1">
        <v>2068495</v>
      </c>
      <c r="E31" s="1">
        <v>4719</v>
      </c>
      <c r="F31" s="1">
        <v>2068495</v>
      </c>
      <c r="G31" s="1">
        <v>4719</v>
      </c>
      <c r="H31" s="1">
        <v>2068495</v>
      </c>
      <c r="I31" s="1">
        <v>3630</v>
      </c>
      <c r="J31" s="1">
        <v>1591150</v>
      </c>
    </row>
    <row r="32" spans="1:10" x14ac:dyDescent="0.45">
      <c r="A32" t="s">
        <v>66</v>
      </c>
      <c r="B32" t="s">
        <v>67</v>
      </c>
      <c r="C32" s="1">
        <v>0</v>
      </c>
      <c r="D32" s="1">
        <v>0</v>
      </c>
      <c r="E32" s="1">
        <v>1872</v>
      </c>
      <c r="F32" s="1">
        <v>643968</v>
      </c>
      <c r="G32" s="1">
        <v>1872</v>
      </c>
      <c r="H32" s="1">
        <v>643968</v>
      </c>
      <c r="I32" s="1">
        <v>1440</v>
      </c>
      <c r="J32" s="1">
        <v>495360</v>
      </c>
    </row>
    <row r="33" spans="1:10" x14ac:dyDescent="0.45">
      <c r="A33" t="s">
        <v>68</v>
      </c>
      <c r="B33" t="s">
        <v>69</v>
      </c>
      <c r="C33" s="1">
        <v>3683</v>
      </c>
      <c r="D33" s="1">
        <v>1508383.5384615385</v>
      </c>
      <c r="E33" s="1">
        <v>3683</v>
      </c>
      <c r="F33" s="1">
        <v>1508383.5384615385</v>
      </c>
      <c r="G33" s="1">
        <v>3683</v>
      </c>
      <c r="H33" s="1">
        <v>1508383.5384615385</v>
      </c>
      <c r="I33" s="1">
        <v>4356</v>
      </c>
      <c r="J33" s="1">
        <v>1650977</v>
      </c>
    </row>
    <row r="34" spans="1:10" x14ac:dyDescent="0.45">
      <c r="A34" t="s">
        <v>70</v>
      </c>
      <c r="B34" t="s">
        <v>71</v>
      </c>
      <c r="C34" s="1">
        <v>22127</v>
      </c>
      <c r="D34" s="1">
        <v>7220888.2588417819</v>
      </c>
      <c r="E34" s="1">
        <v>25127</v>
      </c>
      <c r="F34" s="1">
        <v>8189930.985994624</v>
      </c>
      <c r="G34" s="1">
        <v>22127</v>
      </c>
      <c r="H34" s="1">
        <v>7220888.2588417819</v>
      </c>
      <c r="I34" s="1">
        <v>11700</v>
      </c>
      <c r="J34" s="1">
        <v>3846917</v>
      </c>
    </row>
    <row r="35" spans="1:10" x14ac:dyDescent="0.45">
      <c r="A35" t="s">
        <v>72</v>
      </c>
      <c r="B35" t="s">
        <v>73</v>
      </c>
      <c r="C35" s="1">
        <v>8866</v>
      </c>
      <c r="D35" s="1">
        <v>4087011.5</v>
      </c>
      <c r="E35" s="1">
        <v>8866</v>
      </c>
      <c r="F35" s="1">
        <v>4087011.5</v>
      </c>
      <c r="G35" s="1">
        <v>8866</v>
      </c>
      <c r="H35" s="1">
        <v>4087011.5</v>
      </c>
      <c r="I35" s="1">
        <v>6820</v>
      </c>
      <c r="J35" s="1">
        <v>3143855</v>
      </c>
    </row>
    <row r="36" spans="1:10" x14ac:dyDescent="0.45">
      <c r="A36" t="s">
        <v>74</v>
      </c>
      <c r="B36" t="s">
        <v>75</v>
      </c>
      <c r="C36" s="1">
        <v>975</v>
      </c>
      <c r="D36" s="1">
        <v>487500</v>
      </c>
      <c r="E36" s="1">
        <v>975</v>
      </c>
      <c r="F36" s="1">
        <v>487500</v>
      </c>
      <c r="G36" s="1">
        <v>975</v>
      </c>
      <c r="H36" s="1">
        <v>487500</v>
      </c>
      <c r="I36" s="1">
        <v>750</v>
      </c>
      <c r="J36" s="1">
        <v>375000</v>
      </c>
    </row>
    <row r="37" spans="1:10" x14ac:dyDescent="0.45">
      <c r="A37" t="s">
        <v>76</v>
      </c>
      <c r="B37" t="s">
        <v>77</v>
      </c>
      <c r="C37" s="1">
        <v>100000</v>
      </c>
      <c r="D37" s="1">
        <v>20700000</v>
      </c>
      <c r="E37" s="1">
        <v>100000</v>
      </c>
      <c r="F37" s="1">
        <v>20700000</v>
      </c>
      <c r="G37" s="1">
        <v>100000</v>
      </c>
      <c r="H37" s="1">
        <v>20700000</v>
      </c>
      <c r="I37" s="1">
        <v>18050</v>
      </c>
      <c r="J37" s="1">
        <v>3736350</v>
      </c>
    </row>
    <row r="38" spans="1:10" x14ac:dyDescent="0.45">
      <c r="A38" t="s">
        <v>78</v>
      </c>
      <c r="B38" t="s">
        <v>79</v>
      </c>
      <c r="C38" s="1">
        <v>6400</v>
      </c>
      <c r="D38" s="1">
        <v>2617733.2656170647</v>
      </c>
      <c r="E38" s="1">
        <v>6400</v>
      </c>
      <c r="F38" s="1">
        <v>2617733.2656170647</v>
      </c>
      <c r="G38" s="1">
        <v>6400</v>
      </c>
      <c r="H38" s="1">
        <v>2617733.2656170647</v>
      </c>
      <c r="I38" s="1">
        <v>5907</v>
      </c>
      <c r="J38" s="1">
        <v>2416086</v>
      </c>
    </row>
    <row r="39" spans="1:10" x14ac:dyDescent="0.45">
      <c r="A39" t="s">
        <v>80</v>
      </c>
      <c r="B39" t="s">
        <v>81</v>
      </c>
      <c r="C39" s="1">
        <v>1517</v>
      </c>
      <c r="D39" s="1">
        <v>675328.98644822487</v>
      </c>
      <c r="E39" s="1">
        <v>1517</v>
      </c>
      <c r="F39" s="1">
        <v>675328.98644822487</v>
      </c>
      <c r="G39" s="1">
        <v>1517</v>
      </c>
      <c r="H39" s="1">
        <v>675328.98644822487</v>
      </c>
      <c r="I39" s="1">
        <v>1700</v>
      </c>
      <c r="J39" s="1">
        <v>737650</v>
      </c>
    </row>
    <row r="40" spans="1:10" x14ac:dyDescent="0.45">
      <c r="A40" t="s">
        <v>82</v>
      </c>
      <c r="B40" t="s">
        <v>83</v>
      </c>
      <c r="C40" s="1">
        <v>364</v>
      </c>
      <c r="D40" s="1">
        <v>193284</v>
      </c>
      <c r="E40" s="1">
        <v>364</v>
      </c>
      <c r="F40" s="1">
        <v>193284</v>
      </c>
      <c r="G40" s="1">
        <v>364</v>
      </c>
      <c r="H40" s="1">
        <v>193284</v>
      </c>
      <c r="I40" s="1">
        <v>413</v>
      </c>
      <c r="J40" s="1">
        <v>214813</v>
      </c>
    </row>
    <row r="41" spans="1:10" x14ac:dyDescent="0.45">
      <c r="A41" t="s">
        <v>84</v>
      </c>
      <c r="B41" t="s">
        <v>85</v>
      </c>
      <c r="C41" s="1">
        <v>272</v>
      </c>
      <c r="D41" s="1">
        <v>268405.43540669855</v>
      </c>
      <c r="E41" s="1">
        <v>272</v>
      </c>
      <c r="F41" s="1">
        <v>268405.43540669855</v>
      </c>
      <c r="G41" s="1">
        <v>272</v>
      </c>
      <c r="H41" s="1">
        <v>268405.43540669855</v>
      </c>
      <c r="I41" s="1">
        <v>209</v>
      </c>
      <c r="J41" s="1">
        <v>206238</v>
      </c>
    </row>
    <row r="42" spans="1:10" x14ac:dyDescent="0.45">
      <c r="A42" t="s">
        <v>86</v>
      </c>
      <c r="B42" t="s">
        <v>87</v>
      </c>
      <c r="C42" s="1">
        <v>32240</v>
      </c>
      <c r="D42" s="1">
        <v>3804320</v>
      </c>
      <c r="E42" s="1">
        <v>32240</v>
      </c>
      <c r="F42" s="1">
        <v>3804320</v>
      </c>
      <c r="G42" s="1">
        <v>32240</v>
      </c>
      <c r="H42" s="1">
        <v>3804320</v>
      </c>
      <c r="I42" s="1">
        <v>24800</v>
      </c>
      <c r="J42" s="1">
        <v>2926400</v>
      </c>
    </row>
    <row r="43" spans="1:10" x14ac:dyDescent="0.45">
      <c r="A43" t="s">
        <v>88</v>
      </c>
      <c r="B43" t="s">
        <v>89</v>
      </c>
      <c r="C43" s="1">
        <v>4464</v>
      </c>
      <c r="D43" s="1">
        <v>2951141.2451357106</v>
      </c>
      <c r="E43" s="1">
        <v>4464</v>
      </c>
      <c r="F43" s="1">
        <v>2951141.2451357106</v>
      </c>
      <c r="G43" s="1">
        <v>4464</v>
      </c>
      <c r="H43" s="1">
        <v>2951141.2451357106</v>
      </c>
      <c r="I43" s="1">
        <v>3344</v>
      </c>
      <c r="J43" s="1">
        <v>2220081</v>
      </c>
    </row>
    <row r="44" spans="1:10" x14ac:dyDescent="0.45">
      <c r="A44" t="s">
        <v>90</v>
      </c>
      <c r="B44" t="s">
        <v>91</v>
      </c>
      <c r="C44" s="1">
        <v>2925</v>
      </c>
      <c r="D44" s="1">
        <v>1257750</v>
      </c>
      <c r="E44" s="1">
        <v>2925</v>
      </c>
      <c r="F44" s="1">
        <v>1257750</v>
      </c>
      <c r="G44" s="1">
        <v>2925</v>
      </c>
      <c r="H44" s="1">
        <v>1257750</v>
      </c>
      <c r="I44" s="1">
        <v>2250</v>
      </c>
      <c r="J44" s="1">
        <v>967500</v>
      </c>
    </row>
    <row r="45" spans="1:10" x14ac:dyDescent="0.45">
      <c r="A45" t="s">
        <v>92</v>
      </c>
      <c r="B45" t="s">
        <v>93</v>
      </c>
      <c r="C45" s="1">
        <v>3185</v>
      </c>
      <c r="D45" s="1">
        <v>1925236.7914027013</v>
      </c>
      <c r="E45" s="1">
        <v>3185</v>
      </c>
      <c r="F45" s="1">
        <v>1925236.7914027013</v>
      </c>
      <c r="G45" s="1">
        <v>3185</v>
      </c>
      <c r="H45" s="1">
        <v>1925236.7914027013</v>
      </c>
      <c r="I45" s="1">
        <v>2448</v>
      </c>
      <c r="J45" s="1">
        <v>1479713</v>
      </c>
    </row>
    <row r="46" spans="1:10" x14ac:dyDescent="0.45">
      <c r="A46" t="s">
        <v>94</v>
      </c>
      <c r="B46" t="s">
        <v>95</v>
      </c>
      <c r="C46" s="1">
        <v>497</v>
      </c>
      <c r="D46" s="1">
        <v>256689.41882352941</v>
      </c>
      <c r="E46" s="1">
        <v>497</v>
      </c>
      <c r="F46" s="1">
        <v>256689.41882352941</v>
      </c>
      <c r="G46" s="1">
        <v>497</v>
      </c>
      <c r="H46" s="1">
        <v>256689.41882352941</v>
      </c>
      <c r="I46" s="1">
        <v>381</v>
      </c>
      <c r="J46" s="1">
        <v>196723</v>
      </c>
    </row>
    <row r="47" spans="1:10" x14ac:dyDescent="0.45">
      <c r="A47" t="s">
        <v>96</v>
      </c>
      <c r="B47" t="s">
        <v>97</v>
      </c>
      <c r="C47" s="1">
        <v>10833</v>
      </c>
      <c r="D47" s="1">
        <v>3975869.6014640583</v>
      </c>
      <c r="E47" s="1">
        <v>10833</v>
      </c>
      <c r="F47" s="1">
        <v>3975869.6014640583</v>
      </c>
      <c r="G47" s="1">
        <v>10833</v>
      </c>
      <c r="H47" s="1">
        <v>3975869.6014640583</v>
      </c>
      <c r="I47" s="1">
        <v>8333</v>
      </c>
      <c r="J47" s="1">
        <v>3058333</v>
      </c>
    </row>
    <row r="48" spans="1:10" x14ac:dyDescent="0.45">
      <c r="A48" t="s">
        <v>98</v>
      </c>
      <c r="B48" t="s">
        <v>99</v>
      </c>
      <c r="C48" s="1">
        <v>18395</v>
      </c>
      <c r="D48" s="1">
        <v>12860617.899999999</v>
      </c>
      <c r="E48" s="1">
        <v>18395</v>
      </c>
      <c r="F48" s="1">
        <v>12860617.899999999</v>
      </c>
      <c r="G48" s="1">
        <v>18395</v>
      </c>
      <c r="H48" s="1">
        <v>12860617.899999999</v>
      </c>
      <c r="I48" s="1">
        <v>14150</v>
      </c>
      <c r="J48" s="1">
        <v>9892783</v>
      </c>
    </row>
    <row r="49" spans="1:10" x14ac:dyDescent="0.45">
      <c r="A49" t="s">
        <v>100</v>
      </c>
      <c r="B49" t="s">
        <v>101</v>
      </c>
      <c r="C49" s="1">
        <v>195</v>
      </c>
      <c r="D49" s="1">
        <v>177892.78946123901</v>
      </c>
      <c r="E49" s="1">
        <v>195</v>
      </c>
      <c r="F49" s="1">
        <v>177892.78946123901</v>
      </c>
      <c r="G49" s="1">
        <v>195</v>
      </c>
      <c r="H49" s="1">
        <v>177892.78946123901</v>
      </c>
      <c r="I49" s="1">
        <v>149</v>
      </c>
      <c r="J49" s="1">
        <v>135899</v>
      </c>
    </row>
    <row r="50" spans="1:10" x14ac:dyDescent="0.45">
      <c r="A50" t="s">
        <v>102</v>
      </c>
      <c r="B50" t="s">
        <v>103</v>
      </c>
      <c r="C50" s="1">
        <v>687</v>
      </c>
      <c r="D50" s="1">
        <v>588144.33427083865</v>
      </c>
      <c r="E50" s="1">
        <v>687</v>
      </c>
      <c r="F50" s="1">
        <v>588144.33427083865</v>
      </c>
      <c r="G50" s="1">
        <v>687</v>
      </c>
      <c r="H50" s="1">
        <v>588144.33427083865</v>
      </c>
      <c r="I50" s="1">
        <v>524</v>
      </c>
      <c r="J50" s="1">
        <v>448402</v>
      </c>
    </row>
    <row r="51" spans="1:10" x14ac:dyDescent="0.45">
      <c r="A51" t="s">
        <v>104</v>
      </c>
      <c r="B51" t="s">
        <v>105</v>
      </c>
      <c r="C51" s="1">
        <v>6620</v>
      </c>
      <c r="D51" s="1">
        <v>3520243.6214272776</v>
      </c>
      <c r="E51" s="1">
        <v>1620</v>
      </c>
      <c r="F51" s="1">
        <v>1155059.7779206666</v>
      </c>
      <c r="G51" s="1">
        <v>6620</v>
      </c>
      <c r="H51" s="1">
        <v>3520243.6214272776</v>
      </c>
      <c r="I51" s="1">
        <v>6764</v>
      </c>
      <c r="J51" s="1">
        <v>3497534</v>
      </c>
    </row>
    <row r="52" spans="1:10" x14ac:dyDescent="0.45">
      <c r="A52" t="s">
        <v>106</v>
      </c>
      <c r="B52" t="s">
        <v>107</v>
      </c>
      <c r="C52" s="1">
        <v>66787</v>
      </c>
      <c r="D52" s="1">
        <v>38870034</v>
      </c>
      <c r="E52" s="1">
        <v>66787</v>
      </c>
      <c r="F52" s="1">
        <v>38870034</v>
      </c>
      <c r="G52" s="1">
        <v>66787</v>
      </c>
      <c r="H52" s="1">
        <v>38870034</v>
      </c>
      <c r="I52" s="1">
        <v>51375</v>
      </c>
      <c r="J52" s="1">
        <v>29900250</v>
      </c>
    </row>
    <row r="53" spans="1:10" x14ac:dyDescent="0.45">
      <c r="A53" t="s">
        <v>108</v>
      </c>
      <c r="B53" t="s">
        <v>109</v>
      </c>
      <c r="C53" s="1">
        <v>87</v>
      </c>
      <c r="D53" s="1">
        <v>33069.089552238809</v>
      </c>
      <c r="E53" s="1">
        <v>87</v>
      </c>
      <c r="F53" s="1">
        <v>33069.089552238809</v>
      </c>
      <c r="G53" s="1">
        <v>87</v>
      </c>
      <c r="H53" s="1">
        <v>33069.089552238809</v>
      </c>
      <c r="I53" s="1">
        <v>67</v>
      </c>
      <c r="J53" s="1">
        <v>25467</v>
      </c>
    </row>
    <row r="54" spans="1:10" x14ac:dyDescent="0.45">
      <c r="A54" t="s">
        <v>110</v>
      </c>
      <c r="B54" t="s">
        <v>111</v>
      </c>
      <c r="C54" s="1">
        <v>1404</v>
      </c>
      <c r="D54" s="1">
        <v>374868</v>
      </c>
      <c r="E54" s="1">
        <v>1404</v>
      </c>
      <c r="F54" s="1">
        <v>374868</v>
      </c>
      <c r="G54" s="1">
        <v>1404</v>
      </c>
      <c r="H54" s="1">
        <v>374868</v>
      </c>
      <c r="I54" s="1">
        <v>1080</v>
      </c>
      <c r="J54" s="1">
        <v>288360</v>
      </c>
    </row>
    <row r="55" spans="1:10" x14ac:dyDescent="0.45">
      <c r="A55" t="s">
        <v>112</v>
      </c>
      <c r="B55" t="s">
        <v>113</v>
      </c>
      <c r="C55" s="1">
        <v>468</v>
      </c>
      <c r="D55" s="1">
        <v>117936</v>
      </c>
      <c r="E55" s="1">
        <v>468</v>
      </c>
      <c r="F55" s="1">
        <v>117936</v>
      </c>
      <c r="G55" s="1">
        <v>468</v>
      </c>
      <c r="H55" s="1">
        <v>117936</v>
      </c>
      <c r="I55" s="1">
        <v>360</v>
      </c>
      <c r="J55" s="1">
        <v>90720</v>
      </c>
    </row>
    <row r="56" spans="1:10" x14ac:dyDescent="0.45">
      <c r="A56" t="s">
        <v>114</v>
      </c>
      <c r="B56" t="s">
        <v>115</v>
      </c>
      <c r="C56" s="1">
        <v>15777</v>
      </c>
      <c r="D56" s="1">
        <v>5315562.5899259299</v>
      </c>
      <c r="E56" s="1">
        <v>15777</v>
      </c>
      <c r="F56" s="1">
        <v>5315562.5899259299</v>
      </c>
      <c r="G56" s="1">
        <v>15777</v>
      </c>
      <c r="H56" s="1">
        <v>5315562.5899259299</v>
      </c>
      <c r="I56" s="1">
        <v>10050</v>
      </c>
      <c r="J56" s="1">
        <v>3171554</v>
      </c>
    </row>
    <row r="57" spans="1:10" x14ac:dyDescent="0.45">
      <c r="A57" t="s">
        <v>116</v>
      </c>
      <c r="B57" t="s">
        <v>117</v>
      </c>
      <c r="C57" s="1">
        <v>6460</v>
      </c>
      <c r="D57" s="1">
        <v>2379771.9371980675</v>
      </c>
      <c r="E57" s="1">
        <v>6460</v>
      </c>
      <c r="F57" s="1">
        <v>2379771.9371980675</v>
      </c>
      <c r="G57" s="1">
        <v>6460</v>
      </c>
      <c r="H57" s="1">
        <v>2379771.9371980675</v>
      </c>
      <c r="I57" s="1">
        <v>387</v>
      </c>
      <c r="J57" s="1">
        <v>1562197</v>
      </c>
    </row>
    <row r="58" spans="1:10" x14ac:dyDescent="0.45">
      <c r="A58" t="s">
        <v>118</v>
      </c>
      <c r="B58" t="s">
        <v>119</v>
      </c>
      <c r="C58" s="1">
        <v>6017</v>
      </c>
      <c r="D58" s="1">
        <v>1932481.2808381941</v>
      </c>
      <c r="E58" s="1">
        <v>6017</v>
      </c>
      <c r="F58" s="1">
        <v>1932481.2808381941</v>
      </c>
      <c r="G58" s="1">
        <v>6017</v>
      </c>
      <c r="H58" s="1">
        <v>1932481.2808381941</v>
      </c>
      <c r="I58" s="1">
        <v>5169</v>
      </c>
      <c r="J58" s="1">
        <v>1663817</v>
      </c>
    </row>
    <row r="59" spans="1:10" x14ac:dyDescent="0.45">
      <c r="A59" t="s">
        <v>120</v>
      </c>
      <c r="B59" t="s">
        <v>121</v>
      </c>
      <c r="C59" s="1">
        <v>11939</v>
      </c>
      <c r="D59" s="1">
        <v>6358967.1113338936</v>
      </c>
      <c r="E59" s="1">
        <v>11939</v>
      </c>
      <c r="F59" s="1">
        <v>6358967.1113338936</v>
      </c>
      <c r="G59" s="1">
        <v>11939</v>
      </c>
      <c r="H59" s="1">
        <v>6358967.1113338936</v>
      </c>
      <c r="I59" s="1">
        <v>10001</v>
      </c>
      <c r="J59" s="1">
        <v>5457199</v>
      </c>
    </row>
    <row r="60" spans="1:10" x14ac:dyDescent="0.45">
      <c r="A60" t="s">
        <v>122</v>
      </c>
      <c r="B60" t="s">
        <v>123</v>
      </c>
      <c r="C60" s="1">
        <v>31362</v>
      </c>
      <c r="D60" s="1">
        <v>13799231.924809832</v>
      </c>
      <c r="E60" s="1">
        <v>31362</v>
      </c>
      <c r="F60" s="1">
        <v>13799231.924809832</v>
      </c>
      <c r="G60" s="1">
        <v>31362</v>
      </c>
      <c r="H60" s="1">
        <v>13799231.924809832</v>
      </c>
      <c r="I60" s="1">
        <v>22233</v>
      </c>
      <c r="J60" s="1">
        <v>9884873</v>
      </c>
    </row>
    <row r="61" spans="1:10" x14ac:dyDescent="0.45">
      <c r="A61" t="s">
        <v>124</v>
      </c>
      <c r="B61" t="s">
        <v>125</v>
      </c>
      <c r="C61" s="1">
        <v>76028</v>
      </c>
      <c r="D61" s="1">
        <v>30844161.711322263</v>
      </c>
      <c r="E61" s="1">
        <v>76028</v>
      </c>
      <c r="F61" s="1">
        <v>30844161.711322263</v>
      </c>
      <c r="G61" s="1">
        <v>76028</v>
      </c>
      <c r="H61" s="1">
        <v>30844161.711322263</v>
      </c>
      <c r="I61" s="1">
        <v>60549</v>
      </c>
      <c r="J61" s="1">
        <v>24408249</v>
      </c>
    </row>
    <row r="62" spans="1:10" x14ac:dyDescent="0.45">
      <c r="A62" t="s">
        <v>126</v>
      </c>
      <c r="B62" t="s">
        <v>127</v>
      </c>
      <c r="C62" s="1">
        <v>10800</v>
      </c>
      <c r="D62" s="1">
        <v>5146826.666666667</v>
      </c>
      <c r="E62" s="1">
        <v>10800</v>
      </c>
      <c r="F62" s="1">
        <v>5146826.666666667</v>
      </c>
      <c r="G62" s="1">
        <v>10800</v>
      </c>
      <c r="H62" s="1">
        <v>5146826.666666667</v>
      </c>
      <c r="I62" s="1">
        <v>162</v>
      </c>
      <c r="J62" s="1">
        <v>1544048</v>
      </c>
    </row>
    <row r="63" spans="1:10" x14ac:dyDescent="0.45">
      <c r="A63" t="s">
        <v>128</v>
      </c>
      <c r="B63" t="s">
        <v>129</v>
      </c>
      <c r="C63" s="1">
        <v>286</v>
      </c>
      <c r="D63" s="1">
        <v>91520</v>
      </c>
      <c r="E63" s="1">
        <v>286</v>
      </c>
      <c r="F63" s="1">
        <v>91520</v>
      </c>
      <c r="G63" s="1">
        <v>286</v>
      </c>
      <c r="H63" s="1">
        <v>91520</v>
      </c>
      <c r="I63" s="1">
        <v>220</v>
      </c>
      <c r="J63" s="1">
        <v>70400</v>
      </c>
    </row>
    <row r="64" spans="1:10" x14ac:dyDescent="0.45">
      <c r="A64" t="s">
        <v>130</v>
      </c>
      <c r="B64" t="s">
        <v>131</v>
      </c>
      <c r="C64" s="1">
        <v>9351</v>
      </c>
      <c r="D64" s="1">
        <v>6275714.5883652233</v>
      </c>
      <c r="E64" s="1">
        <v>9351</v>
      </c>
      <c r="F64" s="1">
        <v>6275714.5883652233</v>
      </c>
      <c r="G64" s="1">
        <v>9351</v>
      </c>
      <c r="H64" s="1">
        <v>6275714.5883652233</v>
      </c>
      <c r="I64" s="1">
        <v>7091</v>
      </c>
      <c r="J64" s="1">
        <v>4796677</v>
      </c>
    </row>
    <row r="65" spans="1:10" x14ac:dyDescent="0.45">
      <c r="A65" t="s">
        <v>132</v>
      </c>
      <c r="B65" t="s">
        <v>133</v>
      </c>
      <c r="C65" s="1">
        <v>13000</v>
      </c>
      <c r="D65" s="1">
        <v>7422440.400259722</v>
      </c>
      <c r="E65" s="1">
        <v>13000</v>
      </c>
      <c r="F65" s="1">
        <v>7422440.400259722</v>
      </c>
      <c r="G65" s="1">
        <v>13000</v>
      </c>
      <c r="H65" s="1">
        <v>7422440.400259722</v>
      </c>
      <c r="I65" s="1">
        <v>10000</v>
      </c>
      <c r="J65" s="1">
        <v>5709583</v>
      </c>
    </row>
    <row r="66" spans="1:10" x14ac:dyDescent="0.45">
      <c r="A66" t="s">
        <v>134</v>
      </c>
      <c r="B66" t="s">
        <v>135</v>
      </c>
      <c r="C66" s="1">
        <v>3000</v>
      </c>
      <c r="D66" s="1">
        <v>1829190.4411764704</v>
      </c>
      <c r="E66" s="1">
        <v>3000</v>
      </c>
      <c r="F66" s="1">
        <v>1829190.4411764704</v>
      </c>
      <c r="G66" s="1">
        <v>3000</v>
      </c>
      <c r="H66" s="1">
        <v>1829190.4411764704</v>
      </c>
      <c r="I66" s="1">
        <v>68</v>
      </c>
      <c r="J66" s="1">
        <v>829233</v>
      </c>
    </row>
    <row r="67" spans="1:10" x14ac:dyDescent="0.45">
      <c r="A67" t="s">
        <v>136</v>
      </c>
      <c r="B67" t="s">
        <v>137</v>
      </c>
      <c r="C67" s="1">
        <v>11283</v>
      </c>
      <c r="D67" s="1">
        <v>6536465.8378150025</v>
      </c>
      <c r="E67" s="1">
        <v>11283</v>
      </c>
      <c r="F67" s="1">
        <v>6536465.8378150025</v>
      </c>
      <c r="G67" s="1">
        <v>11283</v>
      </c>
      <c r="H67" s="1">
        <v>6536465.8378150025</v>
      </c>
      <c r="I67" s="1">
        <v>8679</v>
      </c>
      <c r="J67" s="1">
        <v>5027950</v>
      </c>
    </row>
    <row r="68" spans="1:10" x14ac:dyDescent="0.45">
      <c r="A68" t="s">
        <v>138</v>
      </c>
      <c r="B68" t="s">
        <v>139</v>
      </c>
      <c r="C68" s="1">
        <v>107250</v>
      </c>
      <c r="D68" s="1">
        <v>15658500</v>
      </c>
      <c r="E68" s="1">
        <v>107250</v>
      </c>
      <c r="F68" s="1">
        <v>15658500</v>
      </c>
      <c r="G68" s="1">
        <v>107250</v>
      </c>
      <c r="H68" s="1">
        <v>15658500</v>
      </c>
      <c r="I68" s="1">
        <v>82500</v>
      </c>
      <c r="J68" s="1">
        <v>12045000</v>
      </c>
    </row>
    <row r="69" spans="1:10" x14ac:dyDescent="0.45">
      <c r="A69" t="s">
        <v>140</v>
      </c>
      <c r="B69" t="s">
        <v>141</v>
      </c>
      <c r="C69" s="1">
        <v>179963</v>
      </c>
      <c r="D69" s="1">
        <v>26536526.512702078</v>
      </c>
      <c r="E69" s="1">
        <v>179963</v>
      </c>
      <c r="F69" s="1">
        <v>26536526.512702078</v>
      </c>
      <c r="G69" s="1">
        <v>179963</v>
      </c>
      <c r="H69" s="1">
        <v>26536526.512702078</v>
      </c>
      <c r="I69" s="1">
        <v>138433</v>
      </c>
      <c r="J69" s="1">
        <v>20412700</v>
      </c>
    </row>
    <row r="70" spans="1:10" x14ac:dyDescent="0.45">
      <c r="A70" t="s">
        <v>142</v>
      </c>
      <c r="B70" t="s">
        <v>143</v>
      </c>
      <c r="C70" s="1">
        <v>60780</v>
      </c>
      <c r="D70" s="1">
        <v>12443085.213143872</v>
      </c>
      <c r="E70" s="1">
        <v>60780</v>
      </c>
      <c r="F70" s="1">
        <v>12443085.213143872</v>
      </c>
      <c r="G70" s="1">
        <v>60780</v>
      </c>
      <c r="H70" s="1">
        <v>12443085.213143872</v>
      </c>
      <c r="I70" s="1">
        <v>54648</v>
      </c>
      <c r="J70" s="1">
        <v>11186667</v>
      </c>
    </row>
    <row r="71" spans="1:10" x14ac:dyDescent="0.45">
      <c r="A71" t="s">
        <v>144</v>
      </c>
      <c r="B71" t="s">
        <v>145</v>
      </c>
      <c r="C71" s="1">
        <v>30000</v>
      </c>
      <c r="D71" s="1">
        <v>8943912.3023963105</v>
      </c>
      <c r="E71" s="1">
        <v>30000</v>
      </c>
      <c r="F71" s="1">
        <v>8943912.3023963105</v>
      </c>
      <c r="G71" s="1">
        <v>30000</v>
      </c>
      <c r="H71" s="1">
        <v>8943912.3023963105</v>
      </c>
      <c r="I71" s="1">
        <v>29921</v>
      </c>
      <c r="J71" s="1">
        <v>8920360</v>
      </c>
    </row>
    <row r="72" spans="1:10" x14ac:dyDescent="0.45">
      <c r="A72" t="s">
        <v>146</v>
      </c>
      <c r="B72" t="s">
        <v>147</v>
      </c>
      <c r="C72" s="1">
        <v>130</v>
      </c>
      <c r="D72" s="1">
        <v>39650</v>
      </c>
      <c r="E72" s="1">
        <v>130</v>
      </c>
      <c r="F72" s="1">
        <v>39650</v>
      </c>
      <c r="G72" s="1">
        <v>130</v>
      </c>
      <c r="H72" s="1">
        <v>39650</v>
      </c>
      <c r="I72" s="1">
        <v>100</v>
      </c>
      <c r="J72" s="1">
        <v>30500</v>
      </c>
    </row>
    <row r="73" spans="1:10" x14ac:dyDescent="0.45">
      <c r="A73" t="s">
        <v>148</v>
      </c>
      <c r="B73" t="s">
        <v>149</v>
      </c>
      <c r="C73" s="1">
        <v>1059</v>
      </c>
      <c r="D73" s="1">
        <v>426713.81498439971</v>
      </c>
      <c r="E73" s="1">
        <v>1059</v>
      </c>
      <c r="F73" s="1">
        <v>426713.81498439971</v>
      </c>
      <c r="G73" s="1">
        <v>1059</v>
      </c>
      <c r="H73" s="1">
        <v>426713.81498439971</v>
      </c>
      <c r="I73" s="1">
        <v>815</v>
      </c>
      <c r="J73" s="1">
        <v>328390</v>
      </c>
    </row>
    <row r="74" spans="1:10" x14ac:dyDescent="0.45">
      <c r="A74" t="s">
        <v>150</v>
      </c>
      <c r="B74" t="s">
        <v>151</v>
      </c>
      <c r="C74" s="1">
        <v>7303</v>
      </c>
      <c r="D74" s="1">
        <v>6105352.9722991688</v>
      </c>
      <c r="E74" s="1">
        <v>7303</v>
      </c>
      <c r="F74" s="1">
        <v>6105352.9722991688</v>
      </c>
      <c r="G74" s="1">
        <v>7303</v>
      </c>
      <c r="H74" s="1">
        <v>6105352.9722991688</v>
      </c>
      <c r="I74" s="1">
        <v>3748</v>
      </c>
      <c r="J74" s="1">
        <v>3196827</v>
      </c>
    </row>
    <row r="75" spans="1:10" x14ac:dyDescent="0.45">
      <c r="A75" t="s">
        <v>152</v>
      </c>
      <c r="B75" t="s">
        <v>153</v>
      </c>
      <c r="C75" s="1">
        <v>845</v>
      </c>
      <c r="D75" s="1">
        <v>863590</v>
      </c>
      <c r="E75" s="1">
        <v>845</v>
      </c>
      <c r="F75" s="1">
        <v>863590</v>
      </c>
      <c r="G75" s="1">
        <v>845</v>
      </c>
      <c r="H75" s="1">
        <v>863590</v>
      </c>
      <c r="I75" s="1">
        <v>650</v>
      </c>
      <c r="J75" s="1">
        <v>664300</v>
      </c>
    </row>
    <row r="76" spans="1:10" x14ac:dyDescent="0.45">
      <c r="A76" t="s">
        <v>154</v>
      </c>
      <c r="B76" t="s">
        <v>155</v>
      </c>
      <c r="C76" s="1">
        <v>0</v>
      </c>
      <c r="D76" s="1">
        <v>0</v>
      </c>
      <c r="E76" s="1">
        <v>0</v>
      </c>
      <c r="F76" s="1">
        <v>0</v>
      </c>
      <c r="G76" s="1"/>
      <c r="H76" s="1">
        <v>0</v>
      </c>
      <c r="I76" s="1">
        <v>750</v>
      </c>
      <c r="J76" s="1">
        <v>603750</v>
      </c>
    </row>
    <row r="77" spans="1:10" x14ac:dyDescent="0.45">
      <c r="A77" t="s">
        <v>156</v>
      </c>
      <c r="B77" t="s">
        <v>157</v>
      </c>
      <c r="C77" s="1">
        <v>43</v>
      </c>
      <c r="D77" s="1">
        <v>23672.151515151516</v>
      </c>
      <c r="E77" s="1">
        <v>43</v>
      </c>
      <c r="F77" s="1">
        <v>23672.151515151516</v>
      </c>
      <c r="G77" s="1">
        <v>43</v>
      </c>
      <c r="H77" s="1">
        <v>23672.151515151516</v>
      </c>
      <c r="I77" s="1">
        <v>33</v>
      </c>
      <c r="J77" s="1">
        <v>18167</v>
      </c>
    </row>
    <row r="78" spans="1:10" x14ac:dyDescent="0.45">
      <c r="A78" t="s">
        <v>158</v>
      </c>
      <c r="B78" t="s">
        <v>159</v>
      </c>
      <c r="C78" s="1">
        <v>20</v>
      </c>
      <c r="D78" s="1">
        <v>18032</v>
      </c>
      <c r="E78" s="1">
        <v>20</v>
      </c>
      <c r="F78" s="1">
        <v>18032</v>
      </c>
      <c r="G78" s="1">
        <v>20</v>
      </c>
      <c r="H78" s="1">
        <v>18032</v>
      </c>
      <c r="I78" s="1">
        <v>15</v>
      </c>
      <c r="J78" s="1">
        <v>13524</v>
      </c>
    </row>
    <row r="79" spans="1:10" x14ac:dyDescent="0.45">
      <c r="A79" t="s">
        <v>160</v>
      </c>
      <c r="B79" t="s">
        <v>161</v>
      </c>
      <c r="C79" s="1">
        <v>1690</v>
      </c>
      <c r="D79" s="1">
        <v>398840</v>
      </c>
      <c r="E79" s="1">
        <v>1690</v>
      </c>
      <c r="F79" s="1">
        <v>398840</v>
      </c>
      <c r="G79" s="1">
        <v>1690</v>
      </c>
      <c r="H79" s="1">
        <v>398840</v>
      </c>
      <c r="I79" s="1">
        <v>1300</v>
      </c>
      <c r="J79" s="1">
        <v>306800</v>
      </c>
    </row>
    <row r="80" spans="1:10" x14ac:dyDescent="0.45">
      <c r="A80" t="s">
        <v>162</v>
      </c>
      <c r="B80" t="s">
        <v>163</v>
      </c>
      <c r="C80" s="1">
        <v>4420</v>
      </c>
      <c r="D80" s="1">
        <v>676260</v>
      </c>
      <c r="E80" s="1">
        <v>4420</v>
      </c>
      <c r="F80" s="1">
        <v>676260</v>
      </c>
      <c r="G80" s="1">
        <v>4420</v>
      </c>
      <c r="H80" s="1">
        <v>676260</v>
      </c>
      <c r="I80" s="1">
        <v>3400</v>
      </c>
      <c r="J80" s="1">
        <v>520200</v>
      </c>
    </row>
    <row r="81" spans="1:10" x14ac:dyDescent="0.45">
      <c r="A81" t="s">
        <v>164</v>
      </c>
      <c r="B81" t="s">
        <v>165</v>
      </c>
      <c r="C81" s="1">
        <v>0</v>
      </c>
      <c r="D81" s="1">
        <v>0</v>
      </c>
      <c r="E81" s="1">
        <v>20000</v>
      </c>
      <c r="F81" s="1">
        <v>9081723.1951525901</v>
      </c>
      <c r="G81" s="1">
        <v>12000</v>
      </c>
      <c r="H81" s="1">
        <v>5449033.917091554</v>
      </c>
      <c r="I81" s="1">
        <v>13533</v>
      </c>
      <c r="J81" s="1">
        <v>6145148</v>
      </c>
    </row>
    <row r="82" spans="1:10" x14ac:dyDescent="0.45">
      <c r="A82" t="s">
        <v>166</v>
      </c>
      <c r="B82" t="s">
        <v>167</v>
      </c>
      <c r="C82" s="1">
        <v>60000</v>
      </c>
      <c r="D82" s="1">
        <v>19160170.372160465</v>
      </c>
      <c r="E82" s="1">
        <v>60000</v>
      </c>
      <c r="F82" s="1">
        <v>19160170.372160465</v>
      </c>
      <c r="G82" s="1">
        <v>60000</v>
      </c>
      <c r="H82" s="1">
        <v>19160170.372160465</v>
      </c>
      <c r="I82" s="1">
        <v>49656</v>
      </c>
      <c r="J82" s="1">
        <v>15856957</v>
      </c>
    </row>
    <row r="83" spans="1:10" x14ac:dyDescent="0.45">
      <c r="A83" t="s">
        <v>168</v>
      </c>
      <c r="B83" t="s">
        <v>169</v>
      </c>
      <c r="C83" s="1">
        <v>39000</v>
      </c>
      <c r="D83" s="1">
        <v>10900767.800000001</v>
      </c>
      <c r="E83" s="1">
        <v>39000</v>
      </c>
      <c r="F83" s="1">
        <v>10900767.800000001</v>
      </c>
      <c r="G83" s="1">
        <v>39000</v>
      </c>
      <c r="H83" s="1">
        <v>10900767.800000001</v>
      </c>
      <c r="I83" s="1">
        <v>30000</v>
      </c>
      <c r="J83" s="1">
        <v>8385206</v>
      </c>
    </row>
    <row r="84" spans="1:10" x14ac:dyDescent="0.45">
      <c r="A84" t="s">
        <v>170</v>
      </c>
      <c r="B84" t="s">
        <v>171</v>
      </c>
      <c r="C84" s="1">
        <v>46644</v>
      </c>
      <c r="D84" s="1">
        <v>11758384.300000001</v>
      </c>
      <c r="E84" s="1">
        <v>46644</v>
      </c>
      <c r="F84" s="1">
        <v>11758384.300000001</v>
      </c>
      <c r="G84" s="1">
        <v>46644</v>
      </c>
      <c r="H84" s="1">
        <v>11758384.300000001</v>
      </c>
      <c r="I84" s="1">
        <v>35880</v>
      </c>
      <c r="J84" s="1">
        <v>9044911</v>
      </c>
    </row>
    <row r="85" spans="1:10" x14ac:dyDescent="0.45">
      <c r="A85" t="s">
        <v>172</v>
      </c>
      <c r="B85" t="s">
        <v>173</v>
      </c>
      <c r="C85" s="1">
        <v>23508</v>
      </c>
      <c r="D85" s="1">
        <v>7796959.9672620697</v>
      </c>
      <c r="E85" s="1">
        <v>23508</v>
      </c>
      <c r="F85" s="1">
        <v>7796959.9672620697</v>
      </c>
      <c r="G85" s="1">
        <v>23508</v>
      </c>
      <c r="H85" s="1">
        <v>7796959.9672620697</v>
      </c>
      <c r="I85" s="1">
        <v>18083</v>
      </c>
      <c r="J85" s="1">
        <v>5997636</v>
      </c>
    </row>
    <row r="86" spans="1:10" x14ac:dyDescent="0.45">
      <c r="A86" t="s">
        <v>174</v>
      </c>
      <c r="B86" t="s">
        <v>175</v>
      </c>
      <c r="C86" s="1">
        <v>35100</v>
      </c>
      <c r="D86" s="1">
        <v>3334500</v>
      </c>
      <c r="E86" s="1">
        <v>35100</v>
      </c>
      <c r="F86" s="1">
        <v>3334500</v>
      </c>
      <c r="G86" s="1">
        <v>35100</v>
      </c>
      <c r="H86" s="1">
        <v>3334500</v>
      </c>
      <c r="I86" s="1">
        <v>27000</v>
      </c>
      <c r="J86" s="1">
        <v>2565000</v>
      </c>
    </row>
    <row r="87" spans="1:10" x14ac:dyDescent="0.45">
      <c r="A87" t="s">
        <v>176</v>
      </c>
      <c r="B87" t="s">
        <v>177</v>
      </c>
      <c r="C87" s="1">
        <v>4333</v>
      </c>
      <c r="D87" s="1">
        <v>1213360.9027902791</v>
      </c>
      <c r="E87" s="1">
        <v>4333</v>
      </c>
      <c r="F87" s="1">
        <v>1213360.9027902791</v>
      </c>
      <c r="G87" s="1">
        <v>4333</v>
      </c>
      <c r="H87" s="1">
        <v>1213360.9027902791</v>
      </c>
      <c r="I87" s="1">
        <v>3333</v>
      </c>
      <c r="J87" s="1">
        <v>933333</v>
      </c>
    </row>
    <row r="88" spans="1:10" x14ac:dyDescent="0.45">
      <c r="A88" t="s">
        <v>178</v>
      </c>
      <c r="B88" t="s">
        <v>179</v>
      </c>
      <c r="C88" s="1">
        <v>2130</v>
      </c>
      <c r="D88" s="1">
        <v>1914065.9510576602</v>
      </c>
      <c r="E88" s="1">
        <v>1980</v>
      </c>
      <c r="F88" s="1">
        <v>1785365.9510576602</v>
      </c>
      <c r="G88" s="1">
        <v>2130</v>
      </c>
      <c r="H88" s="1">
        <v>1914065.9510576602</v>
      </c>
      <c r="I88" s="1">
        <v>1548</v>
      </c>
      <c r="J88" s="1">
        <v>1393334</v>
      </c>
    </row>
    <row r="89" spans="1:10" x14ac:dyDescent="0.45">
      <c r="A89" t="s">
        <v>180</v>
      </c>
      <c r="B89" t="s">
        <v>181</v>
      </c>
      <c r="C89" s="1">
        <v>488</v>
      </c>
      <c r="D89" s="1">
        <v>569496</v>
      </c>
      <c r="E89" s="1">
        <v>488</v>
      </c>
      <c r="F89" s="1">
        <v>569496</v>
      </c>
      <c r="G89" s="1">
        <v>488</v>
      </c>
      <c r="H89" s="1">
        <v>569496</v>
      </c>
      <c r="I89" s="1">
        <v>375</v>
      </c>
      <c r="J89" s="1">
        <v>437625</v>
      </c>
    </row>
    <row r="90" spans="1:10" x14ac:dyDescent="0.45">
      <c r="A90" t="s">
        <v>182</v>
      </c>
      <c r="B90" t="s">
        <v>183</v>
      </c>
      <c r="C90" s="1">
        <v>4425</v>
      </c>
      <c r="D90" s="1">
        <v>5252442.7295267535</v>
      </c>
      <c r="E90" s="1">
        <v>4629</v>
      </c>
      <c r="F90" s="1">
        <v>5478900.3785682106</v>
      </c>
      <c r="G90" s="1">
        <v>4629</v>
      </c>
      <c r="H90" s="1">
        <v>5478900.3785682106</v>
      </c>
      <c r="I90" s="1">
        <v>3574</v>
      </c>
      <c r="J90" s="1">
        <v>4225086</v>
      </c>
    </row>
    <row r="91" spans="1:10" x14ac:dyDescent="0.45">
      <c r="A91" t="s">
        <v>184</v>
      </c>
      <c r="B91" t="s">
        <v>185</v>
      </c>
      <c r="C91" s="1">
        <v>1300</v>
      </c>
      <c r="D91" s="1">
        <v>2349100</v>
      </c>
      <c r="E91" s="1">
        <v>1300</v>
      </c>
      <c r="F91" s="1">
        <v>2349100</v>
      </c>
      <c r="G91" s="1">
        <v>1300</v>
      </c>
      <c r="H91" s="1">
        <v>2349100</v>
      </c>
      <c r="I91" s="1">
        <v>1000</v>
      </c>
      <c r="J91" s="1">
        <v>1807000</v>
      </c>
    </row>
    <row r="92" spans="1:10" x14ac:dyDescent="0.45">
      <c r="A92" t="s">
        <v>186</v>
      </c>
      <c r="B92" t="s">
        <v>187</v>
      </c>
      <c r="C92" s="1">
        <v>390</v>
      </c>
      <c r="D92" s="1">
        <v>622050</v>
      </c>
      <c r="E92" s="1">
        <v>390</v>
      </c>
      <c r="F92" s="1">
        <v>622050</v>
      </c>
      <c r="G92" s="1">
        <v>390</v>
      </c>
      <c r="H92" s="1">
        <v>622050</v>
      </c>
      <c r="I92" s="1">
        <v>300</v>
      </c>
      <c r="J92" s="1">
        <v>478500</v>
      </c>
    </row>
    <row r="93" spans="1:10" x14ac:dyDescent="0.45">
      <c r="A93" t="s">
        <v>188</v>
      </c>
      <c r="B93" t="s">
        <v>189</v>
      </c>
      <c r="C93" s="1">
        <v>1202</v>
      </c>
      <c r="D93" s="1">
        <v>1889819.7636820495</v>
      </c>
      <c r="E93" s="1">
        <v>1145</v>
      </c>
      <c r="F93" s="1">
        <v>1805067.6727729584</v>
      </c>
      <c r="G93" s="1">
        <v>1145</v>
      </c>
      <c r="H93" s="1">
        <v>1805067.6727729584</v>
      </c>
      <c r="I93" s="1">
        <v>906</v>
      </c>
      <c r="J93" s="1">
        <v>1429117</v>
      </c>
    </row>
    <row r="94" spans="1:10" x14ac:dyDescent="0.45">
      <c r="A94" t="s">
        <v>190</v>
      </c>
      <c r="B94" t="s">
        <v>191</v>
      </c>
      <c r="C94" s="1">
        <v>775</v>
      </c>
      <c r="D94" s="1">
        <v>1643422.5071570361</v>
      </c>
      <c r="E94" s="1">
        <v>775</v>
      </c>
      <c r="F94" s="1">
        <v>1643422.5071570361</v>
      </c>
      <c r="G94" s="1">
        <v>963</v>
      </c>
      <c r="H94" s="1">
        <v>2012061.9830191052</v>
      </c>
      <c r="I94" s="1">
        <v>741</v>
      </c>
      <c r="J94" s="1">
        <v>1548016</v>
      </c>
    </row>
    <row r="95" spans="1:10" x14ac:dyDescent="0.45">
      <c r="A95" t="s">
        <v>192</v>
      </c>
      <c r="B95" t="s">
        <v>193</v>
      </c>
      <c r="C95" s="1">
        <v>1350</v>
      </c>
      <c r="D95" s="1">
        <v>1948050</v>
      </c>
      <c r="E95" s="1">
        <v>1500</v>
      </c>
      <c r="F95" s="1">
        <v>2164500</v>
      </c>
      <c r="G95" s="1">
        <v>1350</v>
      </c>
      <c r="H95" s="1">
        <v>1948050</v>
      </c>
      <c r="I95" s="1">
        <v>10</v>
      </c>
      <c r="J95" s="1">
        <v>144300</v>
      </c>
    </row>
    <row r="96" spans="1:10" x14ac:dyDescent="0.45">
      <c r="A96" t="s">
        <v>194</v>
      </c>
      <c r="B96" t="s">
        <v>195</v>
      </c>
      <c r="C96" s="1">
        <v>121</v>
      </c>
      <c r="D96" s="1">
        <v>312174.79569892475</v>
      </c>
      <c r="E96" s="1">
        <v>121</v>
      </c>
      <c r="F96" s="1">
        <v>312174.79569892475</v>
      </c>
      <c r="G96" s="1">
        <v>121</v>
      </c>
      <c r="H96" s="1">
        <v>312174.79569892475</v>
      </c>
      <c r="I96" s="1">
        <v>93</v>
      </c>
      <c r="J96" s="1">
        <v>239936</v>
      </c>
    </row>
    <row r="97" spans="1:10" x14ac:dyDescent="0.45">
      <c r="A97" t="s">
        <v>196</v>
      </c>
      <c r="B97" t="s">
        <v>197</v>
      </c>
      <c r="C97" s="1">
        <v>125</v>
      </c>
      <c r="D97" s="1">
        <v>443897.13541666669</v>
      </c>
      <c r="E97" s="1">
        <v>125</v>
      </c>
      <c r="F97" s="1">
        <v>443897.13541666669</v>
      </c>
      <c r="G97" s="1">
        <v>125</v>
      </c>
      <c r="H97" s="1">
        <v>443897.13541666669</v>
      </c>
      <c r="I97" s="1">
        <v>96</v>
      </c>
      <c r="J97" s="1">
        <v>340913</v>
      </c>
    </row>
    <row r="98" spans="1:10" x14ac:dyDescent="0.45">
      <c r="A98" t="s">
        <v>198</v>
      </c>
      <c r="B98" t="s">
        <v>199</v>
      </c>
      <c r="C98" s="1">
        <v>1500</v>
      </c>
      <c r="D98" s="1">
        <v>2922073.1707317075</v>
      </c>
      <c r="E98" s="1">
        <v>1500</v>
      </c>
      <c r="F98" s="1">
        <v>2922073.1707317075</v>
      </c>
      <c r="G98" s="1">
        <v>1500</v>
      </c>
      <c r="H98" s="1">
        <v>2922073.1707317075</v>
      </c>
      <c r="I98" s="1">
        <v>41</v>
      </c>
      <c r="J98" s="1">
        <v>798700</v>
      </c>
    </row>
    <row r="99" spans="1:10" x14ac:dyDescent="0.45">
      <c r="A99" t="s">
        <v>200</v>
      </c>
      <c r="B99" t="s">
        <v>201</v>
      </c>
      <c r="C99" s="1">
        <v>30024</v>
      </c>
      <c r="D99" s="1">
        <v>16963735.502922714</v>
      </c>
      <c r="E99" s="1">
        <v>30024</v>
      </c>
      <c r="F99" s="1">
        <v>16963735.502922714</v>
      </c>
      <c r="G99" s="1">
        <v>30024</v>
      </c>
      <c r="H99" s="1">
        <v>16963735.502922714</v>
      </c>
      <c r="I99" s="1">
        <v>23095</v>
      </c>
      <c r="J99" s="1">
        <v>13048810</v>
      </c>
    </row>
    <row r="100" spans="1:10" x14ac:dyDescent="0.45">
      <c r="A100" t="s">
        <v>202</v>
      </c>
      <c r="B100" t="s">
        <v>203</v>
      </c>
      <c r="C100" s="1">
        <v>5393</v>
      </c>
      <c r="D100" s="1">
        <v>6855185.5759402132</v>
      </c>
      <c r="E100" s="1">
        <v>5393</v>
      </c>
      <c r="F100" s="1">
        <v>6855185.5759402132</v>
      </c>
      <c r="G100" s="1">
        <v>5393</v>
      </c>
      <c r="H100" s="1">
        <v>6855185.5759402132</v>
      </c>
      <c r="I100" s="1">
        <v>4148</v>
      </c>
      <c r="J100" s="1">
        <v>5272633</v>
      </c>
    </row>
    <row r="101" spans="1:10" x14ac:dyDescent="0.45">
      <c r="A101" t="s">
        <v>204</v>
      </c>
      <c r="B101" t="s">
        <v>205</v>
      </c>
      <c r="C101" s="1">
        <v>13501</v>
      </c>
      <c r="D101" s="1">
        <v>20939475.13412286</v>
      </c>
      <c r="E101" s="1">
        <v>13501</v>
      </c>
      <c r="F101" s="1">
        <v>20939475.13412286</v>
      </c>
      <c r="G101" s="1">
        <v>13501</v>
      </c>
      <c r="H101" s="1">
        <v>20939475.13412286</v>
      </c>
      <c r="I101" s="1">
        <v>10386</v>
      </c>
      <c r="J101" s="1">
        <v>16108243</v>
      </c>
    </row>
    <row r="102" spans="1:10" x14ac:dyDescent="0.45">
      <c r="A102" t="s">
        <v>206</v>
      </c>
      <c r="B102" t="s">
        <v>207</v>
      </c>
      <c r="C102" s="1">
        <v>4890</v>
      </c>
      <c r="D102" s="1">
        <v>9134288.6283891555</v>
      </c>
      <c r="E102" s="1">
        <v>4890</v>
      </c>
      <c r="F102" s="1">
        <v>9134288.6283891555</v>
      </c>
      <c r="G102" s="1">
        <v>4890</v>
      </c>
      <c r="H102" s="1">
        <v>9134288.6283891555</v>
      </c>
      <c r="I102" s="1">
        <v>3762</v>
      </c>
      <c r="J102" s="1">
        <v>7027238</v>
      </c>
    </row>
    <row r="103" spans="1:10" x14ac:dyDescent="0.45">
      <c r="A103" t="s">
        <v>208</v>
      </c>
      <c r="B103" t="s">
        <v>209</v>
      </c>
      <c r="C103" s="1">
        <v>65</v>
      </c>
      <c r="D103" s="1">
        <v>110370</v>
      </c>
      <c r="E103" s="1">
        <v>65</v>
      </c>
      <c r="F103" s="1">
        <v>110370</v>
      </c>
      <c r="G103" s="1">
        <v>65</v>
      </c>
      <c r="H103" s="1">
        <v>110370</v>
      </c>
      <c r="I103" s="1">
        <v>50</v>
      </c>
      <c r="J103" s="1">
        <v>84900</v>
      </c>
    </row>
    <row r="104" spans="1:10" x14ac:dyDescent="0.45">
      <c r="A104" t="s">
        <v>210</v>
      </c>
      <c r="B104" t="s">
        <v>211</v>
      </c>
      <c r="C104" s="1">
        <v>497</v>
      </c>
      <c r="D104" s="1">
        <v>819007.86125654448</v>
      </c>
      <c r="E104" s="1">
        <v>497</v>
      </c>
      <c r="F104" s="1">
        <v>819007.86125654448</v>
      </c>
      <c r="G104" s="1">
        <v>497</v>
      </c>
      <c r="H104" s="1">
        <v>819007.86125654448</v>
      </c>
      <c r="I104" s="1">
        <v>382</v>
      </c>
      <c r="J104" s="1">
        <v>629499</v>
      </c>
    </row>
    <row r="105" spans="1:10" x14ac:dyDescent="0.45">
      <c r="A105" t="s">
        <v>212</v>
      </c>
      <c r="B105" t="s">
        <v>213</v>
      </c>
      <c r="C105" s="1">
        <v>260</v>
      </c>
      <c r="D105" s="1">
        <v>450797.10000000003</v>
      </c>
      <c r="E105" s="1">
        <v>260</v>
      </c>
      <c r="F105" s="1">
        <v>450797.10000000003</v>
      </c>
      <c r="G105" s="1">
        <v>260</v>
      </c>
      <c r="H105" s="1">
        <v>450797.10000000003</v>
      </c>
      <c r="I105" s="1">
        <v>200</v>
      </c>
      <c r="J105" s="1">
        <v>346767</v>
      </c>
    </row>
    <row r="106" spans="1:10" x14ac:dyDescent="0.45">
      <c r="A106" t="s">
        <v>214</v>
      </c>
      <c r="B106" t="s">
        <v>215</v>
      </c>
      <c r="C106" s="1">
        <v>173</v>
      </c>
      <c r="D106" s="1">
        <v>387276.75939849624</v>
      </c>
      <c r="E106" s="1">
        <v>173</v>
      </c>
      <c r="F106" s="1">
        <v>387276.75939849624</v>
      </c>
      <c r="G106" s="1">
        <v>173</v>
      </c>
      <c r="H106" s="1">
        <v>387276.75939849624</v>
      </c>
      <c r="I106" s="1">
        <v>133</v>
      </c>
      <c r="J106" s="1">
        <v>297733</v>
      </c>
    </row>
    <row r="107" spans="1:10" x14ac:dyDescent="0.45">
      <c r="A107" t="s">
        <v>216</v>
      </c>
      <c r="B107" t="s">
        <v>217</v>
      </c>
      <c r="C107" s="1">
        <v>347</v>
      </c>
      <c r="D107" s="1">
        <v>151166.00712993575</v>
      </c>
      <c r="E107" s="1">
        <v>347</v>
      </c>
      <c r="F107" s="1">
        <v>151166.00712993575</v>
      </c>
      <c r="G107" s="1">
        <v>347</v>
      </c>
      <c r="H107" s="1">
        <v>151166.00712993575</v>
      </c>
      <c r="I107" s="1">
        <v>267</v>
      </c>
      <c r="J107" s="1">
        <v>116333</v>
      </c>
    </row>
    <row r="108" spans="1:10" x14ac:dyDescent="0.45">
      <c r="A108" t="s">
        <v>218</v>
      </c>
      <c r="B108" t="s">
        <v>219</v>
      </c>
      <c r="C108" s="1">
        <v>392</v>
      </c>
      <c r="D108" s="1">
        <v>312114.66301843314</v>
      </c>
      <c r="E108" s="1">
        <v>392</v>
      </c>
      <c r="F108" s="1">
        <v>312114.66301843314</v>
      </c>
      <c r="G108" s="1">
        <v>392</v>
      </c>
      <c r="H108" s="1">
        <v>312114.66301843314</v>
      </c>
      <c r="I108" s="1">
        <v>300</v>
      </c>
      <c r="J108" s="1">
        <v>238792</v>
      </c>
    </row>
    <row r="109" spans="1:10" x14ac:dyDescent="0.45">
      <c r="A109" t="s">
        <v>220</v>
      </c>
      <c r="B109" t="s">
        <v>221</v>
      </c>
      <c r="C109" s="1">
        <v>433</v>
      </c>
      <c r="D109" s="1">
        <v>650150.15015015018</v>
      </c>
      <c r="E109" s="1">
        <v>433</v>
      </c>
      <c r="F109" s="1">
        <v>650150.15015015018</v>
      </c>
      <c r="G109" s="1">
        <v>433</v>
      </c>
      <c r="H109" s="1">
        <v>650150.15015015018</v>
      </c>
      <c r="I109" s="1">
        <v>333</v>
      </c>
      <c r="J109" s="1">
        <v>500000</v>
      </c>
    </row>
    <row r="110" spans="1:10" x14ac:dyDescent="0.45">
      <c r="A110" t="s">
        <v>222</v>
      </c>
      <c r="B110" t="s">
        <v>223</v>
      </c>
      <c r="C110" s="1">
        <v>278</v>
      </c>
      <c r="D110" s="1">
        <v>983921.04222334619</v>
      </c>
      <c r="E110" s="1">
        <v>250</v>
      </c>
      <c r="F110" s="1">
        <v>888445.98339981679</v>
      </c>
      <c r="G110" s="1">
        <v>250</v>
      </c>
      <c r="H110" s="1">
        <v>888445.98339981679</v>
      </c>
      <c r="I110" s="1">
        <v>192</v>
      </c>
      <c r="J110" s="1">
        <v>681592</v>
      </c>
    </row>
    <row r="111" spans="1:10" x14ac:dyDescent="0.45">
      <c r="A111" t="s">
        <v>224</v>
      </c>
      <c r="B111" t="s">
        <v>225</v>
      </c>
      <c r="C111" s="1">
        <v>1132</v>
      </c>
      <c r="D111" s="1">
        <v>3894277.5476463833</v>
      </c>
      <c r="E111" s="1">
        <v>1132</v>
      </c>
      <c r="F111" s="1">
        <v>3894277.5476463833</v>
      </c>
      <c r="G111" s="1">
        <v>1132</v>
      </c>
      <c r="H111" s="1">
        <v>3894277.5476463833</v>
      </c>
      <c r="I111" s="1">
        <v>871</v>
      </c>
      <c r="J111" s="1">
        <v>2996392</v>
      </c>
    </row>
    <row r="112" spans="1:10" x14ac:dyDescent="0.45">
      <c r="A112" t="s">
        <v>226</v>
      </c>
      <c r="B112" t="s">
        <v>227</v>
      </c>
      <c r="C112" s="1">
        <v>191</v>
      </c>
      <c r="D112" s="1">
        <v>559089.9904188948</v>
      </c>
      <c r="E112" s="1">
        <v>173</v>
      </c>
      <c r="F112" s="1">
        <v>510093.9904188948</v>
      </c>
      <c r="G112" s="1">
        <v>173</v>
      </c>
      <c r="H112" s="1">
        <v>510093.9904188948</v>
      </c>
      <c r="I112" s="1">
        <v>133</v>
      </c>
      <c r="J112" s="1">
        <v>391967</v>
      </c>
    </row>
    <row r="113" spans="1:10" x14ac:dyDescent="0.45">
      <c r="A113" t="s">
        <v>228</v>
      </c>
      <c r="B113" t="s">
        <v>229</v>
      </c>
      <c r="C113" s="1">
        <v>1733</v>
      </c>
      <c r="D113" s="1">
        <v>3761549.9542385596</v>
      </c>
      <c r="E113" s="1">
        <v>1733</v>
      </c>
      <c r="F113" s="1">
        <v>3761549.9542385596</v>
      </c>
      <c r="G113" s="1">
        <v>1733</v>
      </c>
      <c r="H113" s="1">
        <v>3761549.9542385596</v>
      </c>
      <c r="I113" s="1">
        <v>1333</v>
      </c>
      <c r="J113" s="1">
        <v>2893333</v>
      </c>
    </row>
    <row r="114" spans="1:10" x14ac:dyDescent="0.45">
      <c r="A114" t="s">
        <v>230</v>
      </c>
      <c r="B114" t="s">
        <v>231</v>
      </c>
      <c r="C114" s="1">
        <v>331</v>
      </c>
      <c r="D114" s="1">
        <v>837837.70872865291</v>
      </c>
      <c r="E114" s="1">
        <v>303</v>
      </c>
      <c r="F114" s="1">
        <v>772449.4734345352</v>
      </c>
      <c r="G114" s="1">
        <v>303</v>
      </c>
      <c r="H114" s="1">
        <v>772449.4734345352</v>
      </c>
      <c r="I114" s="1">
        <v>233</v>
      </c>
      <c r="J114" s="1">
        <v>593906</v>
      </c>
    </row>
    <row r="115" spans="1:10" x14ac:dyDescent="0.45">
      <c r="A115" t="s">
        <v>232</v>
      </c>
      <c r="B115" t="s">
        <v>233</v>
      </c>
      <c r="C115" s="1">
        <v>1437</v>
      </c>
      <c r="D115" s="1">
        <v>1480467.8681852771</v>
      </c>
      <c r="E115" s="1">
        <v>1437</v>
      </c>
      <c r="F115" s="1">
        <v>1480467.8681852771</v>
      </c>
      <c r="G115" s="1">
        <v>1437</v>
      </c>
      <c r="H115" s="1">
        <v>1480467.8681852771</v>
      </c>
      <c r="I115" s="1">
        <v>1185</v>
      </c>
      <c r="J115" s="1">
        <v>1216311</v>
      </c>
    </row>
    <row r="116" spans="1:10" x14ac:dyDescent="0.45">
      <c r="A116" t="s">
        <v>234</v>
      </c>
      <c r="B116" t="s">
        <v>235</v>
      </c>
      <c r="C116" s="1">
        <v>27</v>
      </c>
      <c r="D116" s="1">
        <v>17250.583333333336</v>
      </c>
      <c r="E116" s="1">
        <v>27</v>
      </c>
      <c r="F116" s="1">
        <v>17250.583333333336</v>
      </c>
      <c r="G116" s="1">
        <v>27</v>
      </c>
      <c r="H116" s="1">
        <v>17250.583333333336</v>
      </c>
      <c r="I116" s="1">
        <v>20</v>
      </c>
      <c r="J116" s="1">
        <v>12777</v>
      </c>
    </row>
    <row r="117" spans="1:10" x14ac:dyDescent="0.45">
      <c r="A117" t="s">
        <v>236</v>
      </c>
      <c r="B117" t="s">
        <v>237</v>
      </c>
      <c r="C117" s="1">
        <v>8883</v>
      </c>
      <c r="D117" s="1">
        <v>6982378.6142935082</v>
      </c>
      <c r="E117" s="1">
        <v>8883</v>
      </c>
      <c r="F117" s="1">
        <v>6982378.6142935082</v>
      </c>
      <c r="G117" s="1">
        <v>8883</v>
      </c>
      <c r="H117" s="1">
        <v>6982378.6142935082</v>
      </c>
      <c r="I117" s="1">
        <v>6833</v>
      </c>
      <c r="J117" s="1">
        <v>5371000</v>
      </c>
    </row>
    <row r="118" spans="1:10" x14ac:dyDescent="0.45">
      <c r="A118" t="s">
        <v>238</v>
      </c>
      <c r="B118" t="s">
        <v>239</v>
      </c>
      <c r="C118" s="1">
        <v>336</v>
      </c>
      <c r="D118" s="1">
        <v>947761.29729729728</v>
      </c>
      <c r="E118" s="1">
        <v>336</v>
      </c>
      <c r="F118" s="1">
        <v>947761.29729729728</v>
      </c>
      <c r="G118" s="1">
        <v>336</v>
      </c>
      <c r="H118" s="1">
        <v>947761.29729729728</v>
      </c>
      <c r="I118" s="1">
        <v>259</v>
      </c>
      <c r="J118" s="1">
        <v>730566</v>
      </c>
    </row>
    <row r="119" spans="1:10" x14ac:dyDescent="0.45">
      <c r="A119" t="s">
        <v>240</v>
      </c>
      <c r="B119" t="s">
        <v>241</v>
      </c>
      <c r="C119" s="1">
        <v>1517</v>
      </c>
      <c r="D119" s="1">
        <v>1648508.4310197087</v>
      </c>
      <c r="E119" s="1">
        <v>1517</v>
      </c>
      <c r="F119" s="1">
        <v>1648508.4310197087</v>
      </c>
      <c r="G119" s="1">
        <v>1517</v>
      </c>
      <c r="H119" s="1">
        <v>1648508.4310197087</v>
      </c>
      <c r="I119" s="1">
        <v>1167</v>
      </c>
      <c r="J119" s="1">
        <v>1268167</v>
      </c>
    </row>
    <row r="120" spans="1:10" x14ac:dyDescent="0.45">
      <c r="A120" t="s">
        <v>242</v>
      </c>
      <c r="B120" t="s">
        <v>243</v>
      </c>
      <c r="C120" s="1">
        <v>11266</v>
      </c>
      <c r="D120" s="1">
        <v>15848609.475550191</v>
      </c>
      <c r="E120" s="1">
        <v>11266</v>
      </c>
      <c r="F120" s="1">
        <v>15848609.475550191</v>
      </c>
      <c r="G120" s="1">
        <v>11266</v>
      </c>
      <c r="H120" s="1">
        <v>15848609.475550191</v>
      </c>
      <c r="I120" s="1">
        <v>8666</v>
      </c>
      <c r="J120" s="1">
        <v>12191000</v>
      </c>
    </row>
    <row r="121" spans="1:10" x14ac:dyDescent="0.45">
      <c r="A121" t="s">
        <v>244</v>
      </c>
      <c r="B121" t="s">
        <v>245</v>
      </c>
      <c r="C121" s="1">
        <v>5460</v>
      </c>
      <c r="D121" s="1">
        <v>3150420</v>
      </c>
      <c r="E121" s="1">
        <v>5460</v>
      </c>
      <c r="F121" s="1">
        <v>3150420</v>
      </c>
      <c r="G121" s="1">
        <v>5460</v>
      </c>
      <c r="H121" s="1">
        <v>3150420</v>
      </c>
      <c r="I121" s="1">
        <v>4200</v>
      </c>
      <c r="J121" s="1">
        <v>2423400</v>
      </c>
    </row>
    <row r="122" spans="1:10" x14ac:dyDescent="0.45">
      <c r="A122" t="s">
        <v>246</v>
      </c>
      <c r="B122" t="s">
        <v>247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833</v>
      </c>
      <c r="J122" s="1">
        <v>983333</v>
      </c>
    </row>
    <row r="123" spans="1:10" x14ac:dyDescent="0.45">
      <c r="A123" t="s">
        <v>248</v>
      </c>
      <c r="B123" t="s">
        <v>249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1000</v>
      </c>
      <c r="J123" s="1">
        <v>1224000</v>
      </c>
    </row>
    <row r="124" spans="1:10" x14ac:dyDescent="0.45">
      <c r="A124" t="s">
        <v>250</v>
      </c>
      <c r="B124" t="s">
        <v>251</v>
      </c>
      <c r="C124" s="1">
        <v>217</v>
      </c>
      <c r="D124" s="1">
        <v>581049.33532934135</v>
      </c>
      <c r="E124" s="1">
        <v>217</v>
      </c>
      <c r="F124" s="1">
        <v>581049.33532934135</v>
      </c>
      <c r="G124" s="1">
        <v>217</v>
      </c>
      <c r="H124" s="1">
        <v>581049.33532934135</v>
      </c>
      <c r="I124" s="1">
        <v>167</v>
      </c>
      <c r="J124" s="1">
        <v>447167</v>
      </c>
    </row>
    <row r="125" spans="1:10" x14ac:dyDescent="0.45">
      <c r="A125" t="s">
        <v>252</v>
      </c>
      <c r="B125" t="s">
        <v>253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333</v>
      </c>
      <c r="J125" s="1">
        <v>441000</v>
      </c>
    </row>
    <row r="126" spans="1:10" x14ac:dyDescent="0.45">
      <c r="A126" t="s">
        <v>254</v>
      </c>
      <c r="B126" t="s">
        <v>255</v>
      </c>
      <c r="C126" s="1">
        <v>217</v>
      </c>
      <c r="D126" s="1">
        <v>627610.77844311378</v>
      </c>
      <c r="E126" s="1">
        <v>217</v>
      </c>
      <c r="F126" s="1">
        <v>627610.77844311378</v>
      </c>
      <c r="G126" s="1">
        <v>217</v>
      </c>
      <c r="H126" s="1">
        <v>627610.77844311378</v>
      </c>
      <c r="I126" s="1">
        <v>167</v>
      </c>
      <c r="J126" s="1">
        <v>483000</v>
      </c>
    </row>
    <row r="127" spans="1:10" x14ac:dyDescent="0.45">
      <c r="A127" t="s">
        <v>256</v>
      </c>
      <c r="B127" t="s">
        <v>257</v>
      </c>
      <c r="C127" s="1">
        <v>4000</v>
      </c>
      <c r="D127" s="1">
        <v>8910689.0163211301</v>
      </c>
      <c r="E127" s="1">
        <v>4000</v>
      </c>
      <c r="F127" s="1">
        <v>8910689.0163211301</v>
      </c>
      <c r="G127" s="1">
        <v>4000</v>
      </c>
      <c r="H127" s="1">
        <v>8910689.0163211301</v>
      </c>
      <c r="I127" s="1">
        <v>2267</v>
      </c>
      <c r="J127" s="1">
        <v>5050133</v>
      </c>
    </row>
    <row r="128" spans="1:10" x14ac:dyDescent="0.45">
      <c r="A128" t="s">
        <v>258</v>
      </c>
      <c r="B128" t="s">
        <v>259</v>
      </c>
      <c r="C128" s="1">
        <v>2000</v>
      </c>
      <c r="D128" s="1">
        <v>2647135.1351351351</v>
      </c>
      <c r="E128" s="1">
        <v>0</v>
      </c>
      <c r="F128" s="1">
        <v>0</v>
      </c>
      <c r="G128" s="1">
        <v>2000</v>
      </c>
      <c r="H128" s="1">
        <v>2647135.1351351351</v>
      </c>
      <c r="I128" s="1">
        <v>925</v>
      </c>
      <c r="J128" s="1">
        <v>1224300</v>
      </c>
    </row>
    <row r="129" spans="1:10" x14ac:dyDescent="0.45">
      <c r="A129" t="s">
        <v>260</v>
      </c>
      <c r="B129" t="s">
        <v>261</v>
      </c>
      <c r="C129" s="1">
        <v>206</v>
      </c>
      <c r="D129" s="1">
        <v>598247.46835443028</v>
      </c>
      <c r="E129" s="1">
        <v>206</v>
      </c>
      <c r="F129" s="1">
        <v>598247.46835443028</v>
      </c>
      <c r="G129" s="1">
        <v>206</v>
      </c>
      <c r="H129" s="1">
        <v>598247.46835443028</v>
      </c>
      <c r="I129" s="1">
        <v>158</v>
      </c>
      <c r="J129" s="1">
        <v>458850</v>
      </c>
    </row>
    <row r="130" spans="1:10" x14ac:dyDescent="0.45">
      <c r="A130" t="s">
        <v>262</v>
      </c>
      <c r="B130" t="s">
        <v>263</v>
      </c>
      <c r="C130" s="1">
        <v>433</v>
      </c>
      <c r="D130" s="1">
        <v>1433148.0810810812</v>
      </c>
      <c r="E130" s="1">
        <v>433</v>
      </c>
      <c r="F130" s="1">
        <v>1433148.0810810812</v>
      </c>
      <c r="G130" s="1">
        <v>433</v>
      </c>
      <c r="H130" s="1">
        <v>1433148.0810810812</v>
      </c>
      <c r="I130" s="1">
        <v>333</v>
      </c>
      <c r="J130" s="1">
        <v>1102167</v>
      </c>
    </row>
    <row r="131" spans="1:10" x14ac:dyDescent="0.45">
      <c r="A131" t="s">
        <v>264</v>
      </c>
      <c r="B131" t="s">
        <v>265</v>
      </c>
      <c r="C131" s="1">
        <v>108</v>
      </c>
      <c r="D131" s="1">
        <v>443277.54216867464</v>
      </c>
      <c r="E131" s="1">
        <v>108</v>
      </c>
      <c r="F131" s="1">
        <v>443277.54216867464</v>
      </c>
      <c r="G131" s="1">
        <v>108</v>
      </c>
      <c r="H131" s="1">
        <v>443277.54216867464</v>
      </c>
      <c r="I131" s="1">
        <v>83</v>
      </c>
      <c r="J131" s="1">
        <v>340667</v>
      </c>
    </row>
    <row r="132" spans="1:10" x14ac:dyDescent="0.45">
      <c r="A132" t="s">
        <v>266</v>
      </c>
      <c r="B132" t="s">
        <v>267</v>
      </c>
      <c r="C132" s="1">
        <v>108</v>
      </c>
      <c r="D132" s="1">
        <v>443277.54216867464</v>
      </c>
      <c r="E132" s="1">
        <v>108</v>
      </c>
      <c r="F132" s="1">
        <v>443277.54216867464</v>
      </c>
      <c r="G132" s="1">
        <v>108</v>
      </c>
      <c r="H132" s="1">
        <v>443277.54216867464</v>
      </c>
      <c r="I132" s="1">
        <v>83</v>
      </c>
      <c r="J132" s="1">
        <v>340667</v>
      </c>
    </row>
    <row r="133" spans="1:10" x14ac:dyDescent="0.45">
      <c r="A133" t="s">
        <v>268</v>
      </c>
      <c r="B133" t="s">
        <v>269</v>
      </c>
      <c r="C133" s="1">
        <v>108</v>
      </c>
      <c r="D133" s="1">
        <v>443277.54216867464</v>
      </c>
      <c r="E133" s="1">
        <v>108</v>
      </c>
      <c r="F133" s="1">
        <v>443277.54216867464</v>
      </c>
      <c r="G133" s="1">
        <v>108</v>
      </c>
      <c r="H133" s="1">
        <v>443277.54216867464</v>
      </c>
      <c r="I133" s="1">
        <v>83</v>
      </c>
      <c r="J133" s="1">
        <v>340667</v>
      </c>
    </row>
    <row r="134" spans="1:10" x14ac:dyDescent="0.45">
      <c r="A134" t="s">
        <v>270</v>
      </c>
      <c r="B134" t="s">
        <v>271</v>
      </c>
      <c r="C134" s="1">
        <v>242</v>
      </c>
      <c r="D134" s="1">
        <v>969007.03225806449</v>
      </c>
      <c r="E134" s="1">
        <v>242</v>
      </c>
      <c r="F134" s="1">
        <v>969007.03225806449</v>
      </c>
      <c r="G134" s="1">
        <v>242</v>
      </c>
      <c r="H134" s="1">
        <v>969007.03225806449</v>
      </c>
      <c r="I134" s="1">
        <v>186</v>
      </c>
      <c r="J134" s="1">
        <v>744774</v>
      </c>
    </row>
    <row r="135" spans="1:10" x14ac:dyDescent="0.45">
      <c r="A135" t="s">
        <v>272</v>
      </c>
      <c r="B135" t="s">
        <v>273</v>
      </c>
      <c r="C135" s="1">
        <v>15086</v>
      </c>
      <c r="D135" s="1">
        <v>10884250.955130126</v>
      </c>
      <c r="E135" s="1">
        <v>15141</v>
      </c>
      <c r="F135" s="1">
        <v>10924759.689824004</v>
      </c>
      <c r="G135" s="1">
        <v>15141</v>
      </c>
      <c r="H135" s="1">
        <v>10924759.689824004</v>
      </c>
      <c r="I135" s="1">
        <v>11516</v>
      </c>
      <c r="J135" s="1">
        <v>8315221</v>
      </c>
    </row>
    <row r="136" spans="1:10" x14ac:dyDescent="0.45">
      <c r="A136" t="s">
        <v>274</v>
      </c>
      <c r="B136" t="s">
        <v>275</v>
      </c>
      <c r="C136" s="1">
        <v>14764</v>
      </c>
      <c r="D136" s="1">
        <v>8046481.397064358</v>
      </c>
      <c r="E136" s="1">
        <v>14764</v>
      </c>
      <c r="F136" s="1">
        <v>8046481.397064358</v>
      </c>
      <c r="G136" s="1">
        <v>14764</v>
      </c>
      <c r="H136" s="1">
        <v>8046481.397064358</v>
      </c>
      <c r="I136" s="1">
        <v>11357</v>
      </c>
      <c r="J136" s="1">
        <v>6189643</v>
      </c>
    </row>
    <row r="137" spans="1:10" x14ac:dyDescent="0.45">
      <c r="A137" t="s">
        <v>276</v>
      </c>
      <c r="B137" t="s">
        <v>277</v>
      </c>
      <c r="C137" s="1">
        <v>3000</v>
      </c>
      <c r="D137" s="1">
        <v>1875000</v>
      </c>
      <c r="E137" s="1">
        <v>3000</v>
      </c>
      <c r="F137" s="1">
        <v>1875000</v>
      </c>
      <c r="G137" s="1">
        <v>3000</v>
      </c>
      <c r="H137" s="1">
        <v>1875000</v>
      </c>
      <c r="I137" s="1">
        <v>500</v>
      </c>
      <c r="J137" s="1">
        <v>312500</v>
      </c>
    </row>
    <row r="138" spans="1:10" x14ac:dyDescent="0.45">
      <c r="A138" t="s">
        <v>278</v>
      </c>
      <c r="B138" t="s">
        <v>279</v>
      </c>
      <c r="C138" s="1">
        <v>1739</v>
      </c>
      <c r="D138" s="1">
        <v>1613555.4544095665</v>
      </c>
      <c r="E138" s="1">
        <v>1739</v>
      </c>
      <c r="F138" s="1">
        <v>1613555.4544095665</v>
      </c>
      <c r="G138" s="1">
        <v>1739</v>
      </c>
      <c r="H138" s="1">
        <v>1613555.4544095665</v>
      </c>
      <c r="I138" s="1">
        <v>1338</v>
      </c>
      <c r="J138" s="1">
        <v>1241482</v>
      </c>
    </row>
    <row r="139" spans="1:10" x14ac:dyDescent="0.45">
      <c r="A139" t="s">
        <v>280</v>
      </c>
      <c r="B139" t="s">
        <v>281</v>
      </c>
      <c r="C139" s="1">
        <v>2000</v>
      </c>
      <c r="D139" s="1">
        <v>1645800</v>
      </c>
      <c r="E139" s="1">
        <v>2000</v>
      </c>
      <c r="F139" s="1">
        <v>1645800</v>
      </c>
      <c r="G139" s="1">
        <v>2000</v>
      </c>
      <c r="H139" s="1">
        <v>1645800</v>
      </c>
      <c r="I139" s="1">
        <v>132</v>
      </c>
      <c r="J139" s="1">
        <v>1086228</v>
      </c>
    </row>
    <row r="140" spans="1:10" x14ac:dyDescent="0.45">
      <c r="A140" t="s">
        <v>282</v>
      </c>
      <c r="B140" t="s">
        <v>283</v>
      </c>
      <c r="C140" s="1">
        <v>1857</v>
      </c>
      <c r="D140" s="1">
        <v>1640942.3335380782</v>
      </c>
      <c r="E140" s="1">
        <v>1857</v>
      </c>
      <c r="F140" s="1">
        <v>1640942.3335380782</v>
      </c>
      <c r="G140" s="1">
        <v>1857</v>
      </c>
      <c r="H140" s="1">
        <v>1640942.3335380782</v>
      </c>
      <c r="I140" s="1">
        <v>1423</v>
      </c>
      <c r="J140" s="1">
        <v>1257474</v>
      </c>
    </row>
    <row r="141" spans="1:10" x14ac:dyDescent="0.45">
      <c r="A141" t="s">
        <v>284</v>
      </c>
      <c r="B141" t="s">
        <v>285</v>
      </c>
      <c r="C141" s="1">
        <v>4000</v>
      </c>
      <c r="D141" s="1">
        <v>2873679.6875</v>
      </c>
      <c r="E141" s="1">
        <v>4000</v>
      </c>
      <c r="F141" s="1">
        <v>2873679.6875</v>
      </c>
      <c r="G141" s="1">
        <v>4000</v>
      </c>
      <c r="H141" s="1">
        <v>2873679.6875</v>
      </c>
      <c r="I141" s="1">
        <v>2048</v>
      </c>
      <c r="J141" s="1">
        <v>1471324</v>
      </c>
    </row>
    <row r="142" spans="1:10" x14ac:dyDescent="0.45">
      <c r="A142" t="s">
        <v>286</v>
      </c>
      <c r="B142" t="s">
        <v>287</v>
      </c>
      <c r="C142" s="1">
        <v>26258</v>
      </c>
      <c r="D142" s="1">
        <v>26760693.847800024</v>
      </c>
      <c r="E142" s="1">
        <v>26258</v>
      </c>
      <c r="F142" s="1">
        <v>26760693.847800024</v>
      </c>
      <c r="G142" s="1">
        <v>26548</v>
      </c>
      <c r="H142" s="1">
        <v>27038823.354526483</v>
      </c>
      <c r="I142" s="1">
        <v>19458</v>
      </c>
      <c r="J142" s="1">
        <v>19777394</v>
      </c>
    </row>
    <row r="143" spans="1:10" x14ac:dyDescent="0.45">
      <c r="A143" t="s">
        <v>288</v>
      </c>
      <c r="B143" t="s">
        <v>289</v>
      </c>
      <c r="C143" s="1">
        <v>14411</v>
      </c>
      <c r="D143" s="1">
        <v>8922608.6561489441</v>
      </c>
      <c r="E143" s="1">
        <v>14411</v>
      </c>
      <c r="F143" s="1">
        <v>8922608.6561489441</v>
      </c>
      <c r="G143" s="1">
        <v>14411</v>
      </c>
      <c r="H143" s="1">
        <v>8922608.6561489441</v>
      </c>
      <c r="I143" s="1">
        <v>11085</v>
      </c>
      <c r="J143" s="1">
        <v>6863314</v>
      </c>
    </row>
    <row r="144" spans="1:10" x14ac:dyDescent="0.45">
      <c r="A144" t="s">
        <v>290</v>
      </c>
      <c r="B144" t="s">
        <v>291</v>
      </c>
      <c r="C144" s="1">
        <v>2000</v>
      </c>
      <c r="D144" s="1">
        <v>1738281.4229249011</v>
      </c>
      <c r="E144" s="1">
        <v>2000</v>
      </c>
      <c r="F144" s="1">
        <v>1738281.4229249011</v>
      </c>
      <c r="G144" s="1">
        <v>2000</v>
      </c>
      <c r="H144" s="1">
        <v>1738281.4229249011</v>
      </c>
      <c r="I144" s="1">
        <v>1265</v>
      </c>
      <c r="J144" s="1">
        <v>1099463</v>
      </c>
    </row>
    <row r="145" spans="1:10" x14ac:dyDescent="0.45">
      <c r="A145" t="s">
        <v>292</v>
      </c>
      <c r="B145" t="s">
        <v>293</v>
      </c>
      <c r="C145" s="1">
        <v>1842</v>
      </c>
      <c r="D145" s="1">
        <v>2083065.4128440367</v>
      </c>
      <c r="E145" s="1">
        <v>1842</v>
      </c>
      <c r="F145" s="1">
        <v>2083065.4128440367</v>
      </c>
      <c r="G145" s="1">
        <v>1842</v>
      </c>
      <c r="H145" s="1">
        <v>2083065.4128440367</v>
      </c>
      <c r="I145" s="1">
        <v>1417</v>
      </c>
      <c r="J145" s="1">
        <v>1602445</v>
      </c>
    </row>
    <row r="146" spans="1:10" x14ac:dyDescent="0.45">
      <c r="A146" t="s">
        <v>294</v>
      </c>
      <c r="B146" t="s">
        <v>295</v>
      </c>
      <c r="C146" s="1">
        <v>2000</v>
      </c>
      <c r="D146" s="1">
        <v>2157426.4705882352</v>
      </c>
      <c r="E146" s="1">
        <v>2000</v>
      </c>
      <c r="F146" s="1">
        <v>2157426.4705882352</v>
      </c>
      <c r="G146" s="1">
        <v>2000</v>
      </c>
      <c r="H146" s="1">
        <v>2157426.4705882352</v>
      </c>
      <c r="I146" s="1">
        <v>68</v>
      </c>
      <c r="J146" s="1">
        <v>733525</v>
      </c>
    </row>
    <row r="147" spans="1:10" x14ac:dyDescent="0.45">
      <c r="A147" t="s">
        <v>296</v>
      </c>
      <c r="B147" t="s">
        <v>297</v>
      </c>
      <c r="C147" s="1">
        <v>1868</v>
      </c>
      <c r="D147" s="1">
        <v>2076420.5398149607</v>
      </c>
      <c r="E147" s="1">
        <v>1868</v>
      </c>
      <c r="F147" s="1">
        <v>2076420.5398149607</v>
      </c>
      <c r="G147" s="1">
        <v>1868</v>
      </c>
      <c r="H147" s="1">
        <v>2076420.5398149607</v>
      </c>
      <c r="I147" s="1">
        <v>1407</v>
      </c>
      <c r="J147" s="1">
        <v>1564157</v>
      </c>
    </row>
    <row r="148" spans="1:10" x14ac:dyDescent="0.45">
      <c r="A148" t="s">
        <v>298</v>
      </c>
      <c r="B148" t="s">
        <v>299</v>
      </c>
      <c r="C148" s="1">
        <v>5000</v>
      </c>
      <c r="D148" s="1">
        <v>4574085.1829634076</v>
      </c>
      <c r="E148" s="1">
        <v>5000</v>
      </c>
      <c r="F148" s="1">
        <v>4574085.1829634076</v>
      </c>
      <c r="G148" s="1">
        <v>5000</v>
      </c>
      <c r="H148" s="1">
        <v>4574085.1829634076</v>
      </c>
      <c r="I148" s="1">
        <v>1667</v>
      </c>
      <c r="J148" s="1">
        <v>1525000</v>
      </c>
    </row>
    <row r="149" spans="1:10" x14ac:dyDescent="0.45">
      <c r="A149" t="s">
        <v>300</v>
      </c>
      <c r="B149" t="s">
        <v>301</v>
      </c>
      <c r="C149" s="1">
        <v>2000</v>
      </c>
      <c r="D149" s="1">
        <v>2324723.1372549017</v>
      </c>
      <c r="E149" s="1">
        <v>0</v>
      </c>
      <c r="F149" s="1">
        <v>0</v>
      </c>
      <c r="G149" s="1">
        <v>2000</v>
      </c>
      <c r="H149" s="1">
        <v>2324723.1372549017</v>
      </c>
      <c r="I149" s="1">
        <v>1275</v>
      </c>
      <c r="J149" s="1">
        <v>1482011</v>
      </c>
    </row>
    <row r="150" spans="1:10" x14ac:dyDescent="0.45">
      <c r="A150" t="s">
        <v>302</v>
      </c>
      <c r="B150" t="s">
        <v>303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433</v>
      </c>
      <c r="J150" s="1">
        <v>503257</v>
      </c>
    </row>
    <row r="151" spans="1:10" x14ac:dyDescent="0.45">
      <c r="A151" t="s">
        <v>304</v>
      </c>
      <c r="B151" t="s">
        <v>305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867</v>
      </c>
      <c r="J151" s="1">
        <v>793000</v>
      </c>
    </row>
    <row r="152" spans="1:10" x14ac:dyDescent="0.45">
      <c r="A152" t="s">
        <v>306</v>
      </c>
      <c r="B152" t="s">
        <v>307</v>
      </c>
      <c r="C152" s="1">
        <v>913</v>
      </c>
      <c r="D152" s="1">
        <v>1377884.3527448357</v>
      </c>
      <c r="E152" s="1">
        <v>913</v>
      </c>
      <c r="F152" s="1">
        <v>1377884.3527448357</v>
      </c>
      <c r="G152" s="1">
        <v>913</v>
      </c>
      <c r="H152" s="1">
        <v>1377884.3527448357</v>
      </c>
      <c r="I152" s="1">
        <v>539</v>
      </c>
      <c r="J152" s="1">
        <v>832732</v>
      </c>
    </row>
    <row r="153" spans="1:10" x14ac:dyDescent="0.45">
      <c r="A153" t="s">
        <v>308</v>
      </c>
      <c r="B153" t="s">
        <v>309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33</v>
      </c>
      <c r="J153" s="1">
        <v>70667</v>
      </c>
    </row>
    <row r="154" spans="1:10" x14ac:dyDescent="0.45">
      <c r="A154" t="s">
        <v>310</v>
      </c>
      <c r="B154" t="s">
        <v>311</v>
      </c>
      <c r="C154" s="1">
        <v>4915</v>
      </c>
      <c r="D154" s="1">
        <v>8590123.4875609074</v>
      </c>
      <c r="E154" s="1">
        <v>4915</v>
      </c>
      <c r="F154" s="1">
        <v>8590123.4875609074</v>
      </c>
      <c r="G154" s="1">
        <v>5183</v>
      </c>
      <c r="H154" s="1">
        <v>9024214.5361045972</v>
      </c>
      <c r="I154" s="1">
        <v>3776</v>
      </c>
      <c r="J154" s="1">
        <v>6607335</v>
      </c>
    </row>
    <row r="155" spans="1:10" x14ac:dyDescent="0.45">
      <c r="A155" t="s">
        <v>312</v>
      </c>
      <c r="B155" t="s">
        <v>313</v>
      </c>
      <c r="C155" s="1">
        <v>2610</v>
      </c>
      <c r="D155" s="1">
        <v>2758463.6246383339</v>
      </c>
      <c r="E155" s="1">
        <v>2610</v>
      </c>
      <c r="F155" s="1">
        <v>2758463.6246383339</v>
      </c>
      <c r="G155" s="1">
        <v>2674</v>
      </c>
      <c r="H155" s="1">
        <v>2824853.8287199661</v>
      </c>
      <c r="I155" s="1">
        <v>1513</v>
      </c>
      <c r="J155" s="1">
        <v>1617252</v>
      </c>
    </row>
    <row r="156" spans="1:10" x14ac:dyDescent="0.45">
      <c r="A156" t="s">
        <v>314</v>
      </c>
      <c r="B156" t="s">
        <v>315</v>
      </c>
      <c r="C156" s="1">
        <v>9735</v>
      </c>
      <c r="D156" s="1">
        <v>8197148.2652439028</v>
      </c>
      <c r="E156" s="1">
        <v>9735</v>
      </c>
      <c r="F156" s="1">
        <v>8197148.2652439028</v>
      </c>
      <c r="G156" s="1">
        <v>9735</v>
      </c>
      <c r="H156" s="1">
        <v>8197148.2652439028</v>
      </c>
      <c r="I156" s="1">
        <v>7488</v>
      </c>
      <c r="J156" s="1">
        <v>6305110</v>
      </c>
    </row>
    <row r="157" spans="1:10" x14ac:dyDescent="0.45">
      <c r="A157" t="s">
        <v>316</v>
      </c>
      <c r="B157" t="s">
        <v>317</v>
      </c>
      <c r="C157" s="1">
        <v>3510</v>
      </c>
      <c r="D157" s="1">
        <v>3527550.0548643675</v>
      </c>
      <c r="E157" s="1">
        <v>3510</v>
      </c>
      <c r="F157" s="1">
        <v>3527550.0548643675</v>
      </c>
      <c r="G157" s="1">
        <v>3510</v>
      </c>
      <c r="H157" s="1">
        <v>3527550.0548643675</v>
      </c>
      <c r="I157" s="1">
        <v>2700</v>
      </c>
      <c r="J157" s="1">
        <v>2713500</v>
      </c>
    </row>
    <row r="158" spans="1:10" x14ac:dyDescent="0.45">
      <c r="A158" t="s">
        <v>318</v>
      </c>
      <c r="B158" t="s">
        <v>319</v>
      </c>
      <c r="C158" s="1">
        <v>4537</v>
      </c>
      <c r="D158" s="1">
        <v>6294156.3346105786</v>
      </c>
      <c r="E158" s="1">
        <v>4537</v>
      </c>
      <c r="F158" s="1">
        <v>6294156.3346105786</v>
      </c>
      <c r="G158" s="1">
        <v>4537</v>
      </c>
      <c r="H158" s="1">
        <v>6294156.3346105786</v>
      </c>
      <c r="I158" s="1">
        <v>3186</v>
      </c>
      <c r="J158" s="1">
        <v>4419218</v>
      </c>
    </row>
    <row r="159" spans="1:10" x14ac:dyDescent="0.45">
      <c r="A159" t="s">
        <v>320</v>
      </c>
      <c r="B159" t="s">
        <v>321</v>
      </c>
      <c r="C159" s="1">
        <v>693</v>
      </c>
      <c r="D159" s="1">
        <v>827959.47467166977</v>
      </c>
      <c r="E159" s="1">
        <v>693</v>
      </c>
      <c r="F159" s="1">
        <v>827959.47467166977</v>
      </c>
      <c r="G159" s="1">
        <v>693</v>
      </c>
      <c r="H159" s="1">
        <v>827959.47467166977</v>
      </c>
      <c r="I159" s="1">
        <v>533</v>
      </c>
      <c r="J159" s="1">
        <v>636800</v>
      </c>
    </row>
    <row r="160" spans="1:10" x14ac:dyDescent="0.45">
      <c r="A160" t="s">
        <v>322</v>
      </c>
      <c r="B160" t="s">
        <v>323</v>
      </c>
      <c r="C160" s="1">
        <v>433</v>
      </c>
      <c r="D160" s="1">
        <v>775846.27927927929</v>
      </c>
      <c r="E160" s="1">
        <v>433</v>
      </c>
      <c r="F160" s="1">
        <v>775846.27927927929</v>
      </c>
      <c r="G160" s="1">
        <v>433</v>
      </c>
      <c r="H160" s="1">
        <v>775846.27927927929</v>
      </c>
      <c r="I160" s="1">
        <v>333</v>
      </c>
      <c r="J160" s="1">
        <v>596667</v>
      </c>
    </row>
    <row r="161" spans="1:10" x14ac:dyDescent="0.45">
      <c r="A161" t="s">
        <v>324</v>
      </c>
      <c r="B161" t="s">
        <v>325</v>
      </c>
      <c r="C161" s="1">
        <v>282</v>
      </c>
      <c r="D161" s="1">
        <v>360124.39631336404</v>
      </c>
      <c r="E161" s="1">
        <v>282</v>
      </c>
      <c r="F161" s="1">
        <v>360124.39631336404</v>
      </c>
      <c r="G161" s="1">
        <v>282</v>
      </c>
      <c r="H161" s="1">
        <v>360124.39631336404</v>
      </c>
      <c r="I161" s="1">
        <v>217</v>
      </c>
      <c r="J161" s="1">
        <v>277117</v>
      </c>
    </row>
    <row r="162" spans="1:10" x14ac:dyDescent="0.45">
      <c r="A162" t="s">
        <v>326</v>
      </c>
      <c r="B162" t="s">
        <v>327</v>
      </c>
      <c r="C162" s="1">
        <v>23198</v>
      </c>
      <c r="D162" s="1">
        <v>8560176.3975343239</v>
      </c>
      <c r="E162" s="1">
        <v>23198</v>
      </c>
      <c r="F162" s="1">
        <v>8560176.3975343239</v>
      </c>
      <c r="G162" s="1">
        <v>23198</v>
      </c>
      <c r="H162" s="1">
        <v>8560176.3975343239</v>
      </c>
      <c r="I162" s="1">
        <v>17845</v>
      </c>
      <c r="J162" s="1">
        <v>6584893</v>
      </c>
    </row>
    <row r="163" spans="1:10" x14ac:dyDescent="0.45">
      <c r="A163" t="s">
        <v>328</v>
      </c>
      <c r="B163" t="s">
        <v>329</v>
      </c>
      <c r="C163" s="1">
        <v>162</v>
      </c>
      <c r="D163" s="1">
        <v>398809.88586956525</v>
      </c>
      <c r="E163" s="1">
        <v>162</v>
      </c>
      <c r="F163" s="1">
        <v>398809.88586956525</v>
      </c>
      <c r="G163" s="1">
        <v>162</v>
      </c>
      <c r="H163" s="1">
        <v>398809.88586956525</v>
      </c>
      <c r="I163" s="1">
        <v>125</v>
      </c>
      <c r="J163" s="1">
        <v>307575</v>
      </c>
    </row>
    <row r="164" spans="1:10" x14ac:dyDescent="0.45">
      <c r="A164" t="s">
        <v>330</v>
      </c>
      <c r="B164" t="s">
        <v>241</v>
      </c>
      <c r="C164" s="1">
        <v>7648</v>
      </c>
      <c r="D164" s="1">
        <v>8313846.6409966024</v>
      </c>
      <c r="E164" s="1">
        <v>7648</v>
      </c>
      <c r="F164" s="1">
        <v>8313846.6409966024</v>
      </c>
      <c r="G164" s="1">
        <v>7648</v>
      </c>
      <c r="H164" s="1">
        <v>8313846.6409966024</v>
      </c>
      <c r="I164" s="1">
        <v>5883</v>
      </c>
      <c r="J164" s="1">
        <v>6395183</v>
      </c>
    </row>
    <row r="165" spans="1:10" x14ac:dyDescent="0.45">
      <c r="A165" t="s">
        <v>331</v>
      </c>
      <c r="B165" t="s">
        <v>332</v>
      </c>
      <c r="C165" s="1">
        <v>251</v>
      </c>
      <c r="D165" s="1">
        <v>578306.60103626945</v>
      </c>
      <c r="E165" s="1">
        <v>251</v>
      </c>
      <c r="F165" s="1">
        <v>578306.60103626945</v>
      </c>
      <c r="G165" s="1">
        <v>251</v>
      </c>
      <c r="H165" s="1">
        <v>578306.60103626945</v>
      </c>
      <c r="I165" s="1">
        <v>193</v>
      </c>
      <c r="J165" s="1">
        <v>444674</v>
      </c>
    </row>
    <row r="166" spans="1:10" x14ac:dyDescent="0.45">
      <c r="A166" t="s">
        <v>333</v>
      </c>
      <c r="B166" t="s">
        <v>334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2000</v>
      </c>
      <c r="J166" s="1">
        <v>602000</v>
      </c>
    </row>
    <row r="167" spans="1:10" x14ac:dyDescent="0.45">
      <c r="A167" t="s">
        <v>335</v>
      </c>
      <c r="B167" t="s">
        <v>336</v>
      </c>
      <c r="C167" s="1">
        <v>7</v>
      </c>
      <c r="D167" s="1">
        <v>83927</v>
      </c>
      <c r="E167" s="1">
        <v>7</v>
      </c>
      <c r="F167" s="1">
        <v>83927</v>
      </c>
      <c r="G167" s="1">
        <v>7</v>
      </c>
      <c r="H167" s="1">
        <v>83927</v>
      </c>
      <c r="I167" s="1">
        <v>7</v>
      </c>
      <c r="J167" s="1">
        <v>83927</v>
      </c>
    </row>
    <row r="168" spans="1:10" x14ac:dyDescent="0.45">
      <c r="A168" t="s">
        <v>337</v>
      </c>
      <c r="B168" t="s">
        <v>338</v>
      </c>
      <c r="C168" s="1">
        <v>214500</v>
      </c>
      <c r="D168" s="1">
        <v>15015000</v>
      </c>
      <c r="E168" s="1">
        <v>214500</v>
      </c>
      <c r="F168" s="1">
        <v>15015000</v>
      </c>
      <c r="G168" s="1">
        <v>214500</v>
      </c>
      <c r="H168" s="1">
        <v>15015000</v>
      </c>
      <c r="I168" s="1">
        <v>165000</v>
      </c>
      <c r="J168" s="1">
        <v>11550000</v>
      </c>
    </row>
    <row r="169" spans="1:10" x14ac:dyDescent="0.45">
      <c r="A169" t="s">
        <v>339</v>
      </c>
      <c r="B169" t="s">
        <v>340</v>
      </c>
      <c r="C169" s="1">
        <v>43333</v>
      </c>
      <c r="D169" s="1">
        <v>7626684.7001770018</v>
      </c>
      <c r="E169" s="1">
        <v>43333</v>
      </c>
      <c r="F169" s="1">
        <v>7626684.7001770018</v>
      </c>
      <c r="G169" s="1">
        <v>43333</v>
      </c>
      <c r="H169" s="1">
        <v>7626684.7001770018</v>
      </c>
      <c r="I169" s="1">
        <v>33333</v>
      </c>
      <c r="J169" s="1">
        <v>5866667</v>
      </c>
    </row>
    <row r="170" spans="1:10" x14ac:dyDescent="0.45">
      <c r="A170" t="s">
        <v>341</v>
      </c>
      <c r="B170" t="s">
        <v>342</v>
      </c>
      <c r="C170" s="1">
        <v>758</v>
      </c>
      <c r="D170" s="1">
        <v>2145175.1046312181</v>
      </c>
      <c r="E170" s="1">
        <v>758</v>
      </c>
      <c r="F170" s="1">
        <v>2145175.1046312181</v>
      </c>
      <c r="G170" s="1">
        <v>758</v>
      </c>
      <c r="H170" s="1">
        <v>2145175.1046312181</v>
      </c>
      <c r="I170" s="1">
        <v>583</v>
      </c>
      <c r="J170" s="1">
        <v>1649917</v>
      </c>
    </row>
    <row r="171" spans="1:10" x14ac:dyDescent="0.45">
      <c r="A171" t="s">
        <v>343</v>
      </c>
      <c r="B171" t="s">
        <v>344</v>
      </c>
      <c r="C171" s="1">
        <v>217</v>
      </c>
      <c r="D171" s="1">
        <v>258148.13772455091</v>
      </c>
      <c r="E171" s="1">
        <v>217</v>
      </c>
      <c r="F171" s="1">
        <v>258148.13772455091</v>
      </c>
      <c r="G171" s="1">
        <v>217</v>
      </c>
      <c r="H171" s="1">
        <v>258148.13772455091</v>
      </c>
      <c r="I171" s="1">
        <v>167</v>
      </c>
      <c r="J171" s="1">
        <v>198667</v>
      </c>
    </row>
    <row r="172" spans="1:10" x14ac:dyDescent="0.45">
      <c r="A172" t="s">
        <v>345</v>
      </c>
      <c r="B172" t="s">
        <v>346</v>
      </c>
      <c r="C172" s="1">
        <v>433</v>
      </c>
      <c r="D172" s="1">
        <v>887237.80480480485</v>
      </c>
      <c r="E172" s="1">
        <v>433</v>
      </c>
      <c r="F172" s="1">
        <v>887237.80480480485</v>
      </c>
      <c r="G172" s="1">
        <v>433</v>
      </c>
      <c r="H172" s="1">
        <v>887237.80480480485</v>
      </c>
      <c r="I172" s="1">
        <v>333</v>
      </c>
      <c r="J172" s="1">
        <v>682333</v>
      </c>
    </row>
    <row r="173" spans="1:10" x14ac:dyDescent="0.45">
      <c r="A173" t="s">
        <v>347</v>
      </c>
      <c r="B173" t="s">
        <v>348</v>
      </c>
      <c r="C173" s="1">
        <v>260</v>
      </c>
      <c r="D173" s="1">
        <v>491400</v>
      </c>
      <c r="E173" s="1">
        <v>260</v>
      </c>
      <c r="F173" s="1">
        <v>491400</v>
      </c>
      <c r="G173" s="1">
        <v>260</v>
      </c>
      <c r="H173" s="1">
        <v>491400</v>
      </c>
      <c r="I173" s="1">
        <v>200</v>
      </c>
      <c r="J173" s="1">
        <v>378000</v>
      </c>
    </row>
    <row r="174" spans="1:10" x14ac:dyDescent="0.45">
      <c r="A174" t="s">
        <v>349</v>
      </c>
      <c r="B174" t="s">
        <v>350</v>
      </c>
      <c r="C174" s="1">
        <v>347</v>
      </c>
      <c r="D174" s="1">
        <v>684122.84644194762</v>
      </c>
      <c r="E174" s="1">
        <v>347</v>
      </c>
      <c r="F174" s="1">
        <v>684122.84644194762</v>
      </c>
      <c r="G174" s="1">
        <v>347</v>
      </c>
      <c r="H174" s="1">
        <v>684122.84644194762</v>
      </c>
      <c r="I174" s="1">
        <v>267</v>
      </c>
      <c r="J174" s="1">
        <v>526400</v>
      </c>
    </row>
    <row r="175" spans="1:10" x14ac:dyDescent="0.45">
      <c r="A175" t="s">
        <v>351</v>
      </c>
      <c r="B175" t="s">
        <v>352</v>
      </c>
      <c r="C175" s="1">
        <v>217</v>
      </c>
      <c r="D175" s="1">
        <v>872330.90419161681</v>
      </c>
      <c r="E175" s="1">
        <v>217</v>
      </c>
      <c r="F175" s="1">
        <v>872330.90419161681</v>
      </c>
      <c r="G175" s="1">
        <v>217</v>
      </c>
      <c r="H175" s="1">
        <v>872330.90419161681</v>
      </c>
      <c r="I175" s="1">
        <v>167</v>
      </c>
      <c r="J175" s="1">
        <v>671333</v>
      </c>
    </row>
    <row r="176" spans="1:10" x14ac:dyDescent="0.45">
      <c r="A176" t="s">
        <v>353</v>
      </c>
      <c r="B176" t="s">
        <v>354</v>
      </c>
      <c r="C176" s="1">
        <v>444</v>
      </c>
      <c r="D176" s="1">
        <v>111334.94736842105</v>
      </c>
      <c r="E176" s="1">
        <v>444</v>
      </c>
      <c r="F176" s="1">
        <v>111334.94736842105</v>
      </c>
      <c r="G176" s="1">
        <v>444</v>
      </c>
      <c r="H176" s="1">
        <v>111334.94736842105</v>
      </c>
      <c r="I176" s="1">
        <v>342</v>
      </c>
      <c r="J176" s="1">
        <v>85758</v>
      </c>
    </row>
    <row r="177" spans="1:10" x14ac:dyDescent="0.45">
      <c r="A177" t="s">
        <v>355</v>
      </c>
      <c r="B177" t="s">
        <v>356</v>
      </c>
      <c r="C177" s="1">
        <v>1062</v>
      </c>
      <c r="D177" s="1">
        <v>531997.00611995102</v>
      </c>
      <c r="E177" s="1">
        <v>1062</v>
      </c>
      <c r="F177" s="1">
        <v>531997.00611995102</v>
      </c>
      <c r="G177" s="1">
        <v>1062</v>
      </c>
      <c r="H177" s="1">
        <v>531997.00611995102</v>
      </c>
      <c r="I177" s="1">
        <v>817</v>
      </c>
      <c r="J177" s="1">
        <v>409267</v>
      </c>
    </row>
    <row r="178" spans="1:10" x14ac:dyDescent="0.45">
      <c r="A178" t="s">
        <v>357</v>
      </c>
      <c r="B178" t="s">
        <v>358</v>
      </c>
      <c r="C178" s="1">
        <v>1062</v>
      </c>
      <c r="D178" s="1">
        <v>704273.68421052629</v>
      </c>
      <c r="E178" s="1">
        <v>1062</v>
      </c>
      <c r="F178" s="1">
        <v>704273.68421052629</v>
      </c>
      <c r="G178" s="1">
        <v>1062</v>
      </c>
      <c r="H178" s="1">
        <v>704273.68421052629</v>
      </c>
      <c r="I178" s="1">
        <v>817</v>
      </c>
      <c r="J178" s="1">
        <v>541800</v>
      </c>
    </row>
    <row r="179" spans="1:10" x14ac:dyDescent="0.45">
      <c r="A179" t="s">
        <v>359</v>
      </c>
      <c r="B179" t="s">
        <v>360</v>
      </c>
      <c r="C179" s="1">
        <v>1062</v>
      </c>
      <c r="D179" s="1">
        <v>718225.27050183597</v>
      </c>
      <c r="E179" s="1">
        <v>1062</v>
      </c>
      <c r="F179" s="1">
        <v>718225.27050183597</v>
      </c>
      <c r="G179" s="1">
        <v>1062</v>
      </c>
      <c r="H179" s="1">
        <v>718225.27050183597</v>
      </c>
      <c r="I179" s="1">
        <v>817</v>
      </c>
      <c r="J179" s="1">
        <v>552533</v>
      </c>
    </row>
    <row r="180" spans="1:10" x14ac:dyDescent="0.45">
      <c r="A180" t="s">
        <v>361</v>
      </c>
      <c r="B180" t="s">
        <v>362</v>
      </c>
      <c r="C180" s="1">
        <v>8667</v>
      </c>
      <c r="D180" s="1">
        <v>14126504.108144592</v>
      </c>
      <c r="E180" s="1">
        <v>8667</v>
      </c>
      <c r="F180" s="1">
        <v>14126504.108144592</v>
      </c>
      <c r="G180" s="1">
        <v>8667</v>
      </c>
      <c r="H180" s="1">
        <v>14126504.108144592</v>
      </c>
      <c r="I180" s="1">
        <v>6667</v>
      </c>
      <c r="J180" s="1">
        <v>10866667</v>
      </c>
    </row>
    <row r="181" spans="1:10" x14ac:dyDescent="0.45">
      <c r="A181" t="s">
        <v>363</v>
      </c>
      <c r="B181" t="s">
        <v>364</v>
      </c>
      <c r="C181" s="1">
        <v>1062</v>
      </c>
      <c r="D181" s="1">
        <v>843187.70379436971</v>
      </c>
      <c r="E181" s="1">
        <v>1062</v>
      </c>
      <c r="F181" s="1">
        <v>843187.70379436971</v>
      </c>
      <c r="G181" s="1">
        <v>1062</v>
      </c>
      <c r="H181" s="1">
        <v>843187.70379436971</v>
      </c>
      <c r="I181" s="1">
        <v>817</v>
      </c>
      <c r="J181" s="1">
        <v>648667</v>
      </c>
    </row>
    <row r="182" spans="1:10" x14ac:dyDescent="0.45">
      <c r="A182" t="s">
        <v>365</v>
      </c>
      <c r="B182" t="s">
        <v>366</v>
      </c>
      <c r="C182" s="1">
        <v>217</v>
      </c>
      <c r="D182" s="1">
        <v>383106.35329341318</v>
      </c>
      <c r="E182" s="1">
        <v>217</v>
      </c>
      <c r="F182" s="1">
        <v>383106.35329341318</v>
      </c>
      <c r="G182" s="1">
        <v>217</v>
      </c>
      <c r="H182" s="1">
        <v>383106.35329341318</v>
      </c>
      <c r="I182" s="1">
        <v>167</v>
      </c>
      <c r="J182" s="1">
        <v>294833</v>
      </c>
    </row>
    <row r="183" spans="1:10" x14ac:dyDescent="0.45">
      <c r="A183" t="s">
        <v>367</v>
      </c>
      <c r="B183" t="s">
        <v>368</v>
      </c>
      <c r="C183" s="1">
        <v>217</v>
      </c>
      <c r="D183" s="1">
        <v>294747.07185628742</v>
      </c>
      <c r="E183" s="1">
        <v>217</v>
      </c>
      <c r="F183" s="1">
        <v>294747.07185628742</v>
      </c>
      <c r="G183" s="1">
        <v>217</v>
      </c>
      <c r="H183" s="1">
        <v>294747.07185628742</v>
      </c>
      <c r="I183" s="1">
        <v>167</v>
      </c>
      <c r="J183" s="1">
        <v>226833</v>
      </c>
    </row>
    <row r="184" spans="1:10" x14ac:dyDescent="0.45">
      <c r="A184" t="s">
        <v>369</v>
      </c>
      <c r="B184" t="s">
        <v>370</v>
      </c>
      <c r="C184" s="1">
        <v>5449</v>
      </c>
      <c r="D184" s="1">
        <v>9885505.0717768148</v>
      </c>
      <c r="E184" s="1">
        <v>5449</v>
      </c>
      <c r="F184" s="1">
        <v>9885505.0717768148</v>
      </c>
      <c r="G184" s="1">
        <v>5449</v>
      </c>
      <c r="H184" s="1">
        <v>9885505.0717768148</v>
      </c>
      <c r="I184" s="1">
        <v>4192</v>
      </c>
      <c r="J184" s="1">
        <v>7605075</v>
      </c>
    </row>
    <row r="185" spans="1:10" x14ac:dyDescent="0.45">
      <c r="A185" t="s">
        <v>371</v>
      </c>
      <c r="B185" t="s">
        <v>372</v>
      </c>
      <c r="C185" s="1">
        <v>628</v>
      </c>
      <c r="D185" s="1">
        <v>386789.49068322981</v>
      </c>
      <c r="E185" s="1">
        <v>628</v>
      </c>
      <c r="F185" s="1">
        <v>386789.49068322981</v>
      </c>
      <c r="G185" s="1">
        <v>628</v>
      </c>
      <c r="H185" s="1">
        <v>386789.49068322981</v>
      </c>
      <c r="I185" s="1">
        <v>483</v>
      </c>
      <c r="J185" s="1">
        <v>297483</v>
      </c>
    </row>
    <row r="186" spans="1:10" x14ac:dyDescent="0.45">
      <c r="A186" t="s">
        <v>373</v>
      </c>
      <c r="B186" t="s">
        <v>374</v>
      </c>
      <c r="C186" s="1">
        <v>1213</v>
      </c>
      <c r="D186" s="1">
        <v>877312.32583065378</v>
      </c>
      <c r="E186" s="1">
        <v>1213</v>
      </c>
      <c r="F186" s="1">
        <v>877312.32583065378</v>
      </c>
      <c r="G186" s="1">
        <v>1213</v>
      </c>
      <c r="H186" s="1">
        <v>877312.32583065378</v>
      </c>
      <c r="I186" s="1">
        <v>933</v>
      </c>
      <c r="J186" s="1">
        <v>674800</v>
      </c>
    </row>
    <row r="187" spans="1:10" x14ac:dyDescent="0.45">
      <c r="A187" t="s">
        <v>375</v>
      </c>
      <c r="B187" t="s">
        <v>376</v>
      </c>
      <c r="C187" s="1">
        <v>520</v>
      </c>
      <c r="D187" s="1">
        <v>1007760</v>
      </c>
      <c r="E187" s="1">
        <v>520</v>
      </c>
      <c r="F187" s="1">
        <v>1007760</v>
      </c>
      <c r="G187" s="1">
        <v>520</v>
      </c>
      <c r="H187" s="1">
        <v>1007760</v>
      </c>
      <c r="I187" s="1">
        <v>400</v>
      </c>
      <c r="J187" s="1">
        <v>775200</v>
      </c>
    </row>
    <row r="188" spans="1:10" x14ac:dyDescent="0.45">
      <c r="A188" t="s">
        <v>377</v>
      </c>
      <c r="B188" t="s">
        <v>377</v>
      </c>
      <c r="C188" s="1">
        <v>7471</v>
      </c>
      <c r="D188" s="1">
        <v>3421781.578789114</v>
      </c>
      <c r="E188" s="1">
        <v>7471</v>
      </c>
      <c r="F188" s="1">
        <v>3421781.578789114</v>
      </c>
      <c r="G188" s="1">
        <v>7471</v>
      </c>
      <c r="H188" s="1">
        <v>3421781.578789114</v>
      </c>
      <c r="I188" s="1">
        <v>5748</v>
      </c>
      <c r="J188" s="1">
        <v>2632748</v>
      </c>
    </row>
    <row r="189" spans="1:10" x14ac:dyDescent="0.45">
      <c r="A189" t="s">
        <v>378</v>
      </c>
      <c r="B189" t="s">
        <v>379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2</v>
      </c>
      <c r="J189" s="1">
        <v>2460</v>
      </c>
    </row>
    <row r="190" spans="1:10" x14ac:dyDescent="0.45">
      <c r="A190" t="s">
        <v>380</v>
      </c>
      <c r="B190" t="s">
        <v>381</v>
      </c>
      <c r="C190" s="1">
        <v>2495</v>
      </c>
      <c r="D190" s="1">
        <v>12513219.97813422</v>
      </c>
      <c r="E190" s="1">
        <v>2495</v>
      </c>
      <c r="F190" s="1">
        <v>12513219.97813422</v>
      </c>
      <c r="G190" s="1">
        <v>2495</v>
      </c>
      <c r="H190" s="1">
        <v>12513219.97813422</v>
      </c>
      <c r="I190" s="1">
        <v>1919</v>
      </c>
      <c r="J190" s="1">
        <v>9625928</v>
      </c>
    </row>
    <row r="191" spans="1:10" x14ac:dyDescent="0.45">
      <c r="A191" t="s">
        <v>382</v>
      </c>
      <c r="B191" t="s">
        <v>383</v>
      </c>
      <c r="C191" s="1">
        <v>3000</v>
      </c>
      <c r="D191" s="1">
        <v>552000</v>
      </c>
      <c r="E191" s="1">
        <v>3000</v>
      </c>
      <c r="F191" s="1">
        <v>552000</v>
      </c>
      <c r="G191" s="1">
        <v>3000</v>
      </c>
      <c r="H191" s="1">
        <v>552000</v>
      </c>
      <c r="I191" s="1">
        <v>220</v>
      </c>
      <c r="J191" s="1">
        <v>40480</v>
      </c>
    </row>
    <row r="192" spans="1:10" x14ac:dyDescent="0.45">
      <c r="A192" t="s">
        <v>384</v>
      </c>
      <c r="B192" t="s">
        <v>385</v>
      </c>
      <c r="C192" s="1">
        <v>732</v>
      </c>
      <c r="D192" s="1">
        <v>195771.03614457831</v>
      </c>
      <c r="E192" s="1">
        <v>732</v>
      </c>
      <c r="F192" s="1">
        <v>195771.03614457831</v>
      </c>
      <c r="G192" s="1">
        <v>732</v>
      </c>
      <c r="H192" s="1">
        <v>195771.03614457831</v>
      </c>
      <c r="I192" s="1">
        <v>563</v>
      </c>
      <c r="J192" s="1">
        <v>150567</v>
      </c>
    </row>
    <row r="193" spans="1:10" x14ac:dyDescent="0.45">
      <c r="A193" t="s">
        <v>386</v>
      </c>
      <c r="B193" t="s">
        <v>387</v>
      </c>
      <c r="C193" s="1">
        <v>9181</v>
      </c>
      <c r="D193" s="1">
        <v>3198573.9074397772</v>
      </c>
      <c r="E193" s="1">
        <v>9181</v>
      </c>
      <c r="F193" s="1">
        <v>3198573.9074397772</v>
      </c>
      <c r="G193" s="1">
        <v>9181</v>
      </c>
      <c r="H193" s="1">
        <v>3198573.9074397772</v>
      </c>
      <c r="I193" s="1">
        <v>1605</v>
      </c>
      <c r="J193" s="1">
        <v>1785504</v>
      </c>
    </row>
    <row r="194" spans="1:10" x14ac:dyDescent="0.45">
      <c r="A194" t="s">
        <v>388</v>
      </c>
      <c r="B194" t="s">
        <v>389</v>
      </c>
      <c r="C194" s="1">
        <v>8676</v>
      </c>
      <c r="D194" s="1">
        <v>4069538.9953138498</v>
      </c>
      <c r="E194" s="1">
        <v>8676</v>
      </c>
      <c r="F194" s="1">
        <v>4069538.9953138498</v>
      </c>
      <c r="G194" s="1">
        <v>8676</v>
      </c>
      <c r="H194" s="1">
        <v>4069538.9953138498</v>
      </c>
      <c r="I194" s="1">
        <v>1822</v>
      </c>
      <c r="J194" s="1">
        <v>1879623</v>
      </c>
    </row>
    <row r="195" spans="1:10" x14ac:dyDescent="0.45">
      <c r="A195" t="s">
        <v>390</v>
      </c>
      <c r="B195" t="s">
        <v>391</v>
      </c>
      <c r="C195" s="1">
        <v>3325</v>
      </c>
      <c r="D195" s="1">
        <v>2089476.6285714288</v>
      </c>
      <c r="E195" s="1">
        <v>3325</v>
      </c>
      <c r="F195" s="1">
        <v>2089476.6285714288</v>
      </c>
      <c r="G195" s="1">
        <v>3325</v>
      </c>
      <c r="H195" s="1">
        <v>2089476.6285714288</v>
      </c>
      <c r="I195" s="1">
        <v>320</v>
      </c>
      <c r="J195" s="1">
        <v>1072480</v>
      </c>
    </row>
    <row r="196" spans="1:10" x14ac:dyDescent="0.45">
      <c r="A196" t="s">
        <v>392</v>
      </c>
      <c r="B196" t="s">
        <v>393</v>
      </c>
      <c r="C196" s="1">
        <v>4680</v>
      </c>
      <c r="D196" s="1">
        <v>602834.69999999995</v>
      </c>
      <c r="E196" s="1">
        <v>4680</v>
      </c>
      <c r="F196" s="1">
        <v>602834.69999999995</v>
      </c>
      <c r="G196" s="1">
        <v>4680</v>
      </c>
      <c r="H196" s="1">
        <v>602834.69999999995</v>
      </c>
      <c r="I196" s="1">
        <v>3600</v>
      </c>
      <c r="J196" s="1">
        <v>463719</v>
      </c>
    </row>
    <row r="197" spans="1:10" x14ac:dyDescent="0.45">
      <c r="A197" t="s">
        <v>394</v>
      </c>
      <c r="B197" t="s">
        <v>395</v>
      </c>
      <c r="C197" s="1">
        <v>4680</v>
      </c>
      <c r="D197" s="1">
        <v>857880.4</v>
      </c>
      <c r="E197" s="1">
        <v>4680</v>
      </c>
      <c r="F197" s="1">
        <v>857880.4</v>
      </c>
      <c r="G197" s="1">
        <v>4680</v>
      </c>
      <c r="H197" s="1">
        <v>857880.4</v>
      </c>
      <c r="I197" s="1">
        <v>3600</v>
      </c>
      <c r="J197" s="1">
        <v>659908</v>
      </c>
    </row>
    <row r="198" spans="1:10" x14ac:dyDescent="0.45">
      <c r="A198" t="s">
        <v>396</v>
      </c>
      <c r="B198" t="s">
        <v>397</v>
      </c>
      <c r="C198" s="1">
        <v>2574</v>
      </c>
      <c r="D198" s="1">
        <v>675871.3</v>
      </c>
      <c r="E198" s="1">
        <v>2574</v>
      </c>
      <c r="F198" s="1">
        <v>675871.3</v>
      </c>
      <c r="G198" s="1">
        <v>2574</v>
      </c>
      <c r="H198" s="1">
        <v>675871.3</v>
      </c>
      <c r="I198" s="1">
        <v>1980</v>
      </c>
      <c r="J198" s="1">
        <v>519901</v>
      </c>
    </row>
    <row r="199" spans="1:10" x14ac:dyDescent="0.45">
      <c r="A199" t="s">
        <v>398</v>
      </c>
      <c r="B199" t="s">
        <v>399</v>
      </c>
      <c r="C199" s="1">
        <v>1456</v>
      </c>
      <c r="D199" s="1">
        <v>501332</v>
      </c>
      <c r="E199" s="1">
        <v>1456</v>
      </c>
      <c r="F199" s="1">
        <v>501332</v>
      </c>
      <c r="G199" s="1">
        <v>1456</v>
      </c>
      <c r="H199" s="1">
        <v>501332</v>
      </c>
      <c r="I199" s="1">
        <v>1120</v>
      </c>
      <c r="J199" s="1">
        <v>385640</v>
      </c>
    </row>
    <row r="200" spans="1:10" x14ac:dyDescent="0.45">
      <c r="A200" t="s">
        <v>400</v>
      </c>
      <c r="B200" t="s">
        <v>401</v>
      </c>
      <c r="C200" s="1">
        <v>4550</v>
      </c>
      <c r="D200" s="1">
        <v>3120834.6</v>
      </c>
      <c r="E200" s="1">
        <v>4550</v>
      </c>
      <c r="F200" s="1">
        <v>3120834.6</v>
      </c>
      <c r="G200" s="1">
        <v>4550</v>
      </c>
      <c r="H200" s="1">
        <v>3120834.6</v>
      </c>
      <c r="I200" s="1">
        <v>3500</v>
      </c>
      <c r="J200" s="1">
        <v>2400642</v>
      </c>
    </row>
    <row r="201" spans="1:10" x14ac:dyDescent="0.45">
      <c r="A201" t="s">
        <v>402</v>
      </c>
      <c r="B201" t="s">
        <v>403</v>
      </c>
      <c r="C201" s="1">
        <v>14144</v>
      </c>
      <c r="D201" s="1">
        <v>5106617.0999999996</v>
      </c>
      <c r="E201" s="1">
        <v>14144</v>
      </c>
      <c r="F201" s="1">
        <v>5106617.0999999996</v>
      </c>
      <c r="G201" s="1">
        <v>14144</v>
      </c>
      <c r="H201" s="1">
        <v>5106617.0999999996</v>
      </c>
      <c r="I201" s="1">
        <v>10880</v>
      </c>
      <c r="J201" s="1">
        <v>3928167</v>
      </c>
    </row>
    <row r="202" spans="1:10" x14ac:dyDescent="0.45">
      <c r="A202" t="s">
        <v>404</v>
      </c>
      <c r="B202" t="s">
        <v>405</v>
      </c>
      <c r="C202" s="1">
        <v>7488</v>
      </c>
      <c r="D202" s="1">
        <v>3959428.2</v>
      </c>
      <c r="E202" s="1">
        <v>7488</v>
      </c>
      <c r="F202" s="1">
        <v>3959428.2</v>
      </c>
      <c r="G202" s="1">
        <v>7488</v>
      </c>
      <c r="H202" s="1">
        <v>3959428.2</v>
      </c>
      <c r="I202" s="1">
        <v>5760</v>
      </c>
      <c r="J202" s="1">
        <v>3045714</v>
      </c>
    </row>
    <row r="203" spans="1:10" x14ac:dyDescent="0.45">
      <c r="A203" t="s">
        <v>406</v>
      </c>
      <c r="B203" t="s">
        <v>407</v>
      </c>
      <c r="C203" s="1">
        <v>20800</v>
      </c>
      <c r="D203" s="1">
        <v>1060800</v>
      </c>
      <c r="E203" s="1">
        <v>20800</v>
      </c>
      <c r="F203" s="1">
        <v>1060800</v>
      </c>
      <c r="G203" s="1">
        <v>20800</v>
      </c>
      <c r="H203" s="1">
        <v>1060800</v>
      </c>
      <c r="I203" s="1">
        <v>16000</v>
      </c>
      <c r="J203" s="1">
        <v>816000</v>
      </c>
    </row>
    <row r="204" spans="1:10" x14ac:dyDescent="0.45">
      <c r="A204" t="s">
        <v>408</v>
      </c>
      <c r="B204" t="s">
        <v>409</v>
      </c>
      <c r="C204" s="1">
        <v>4145</v>
      </c>
      <c r="D204" s="1">
        <v>1162287.6442910915</v>
      </c>
      <c r="E204" s="1">
        <v>4145</v>
      </c>
      <c r="F204" s="1">
        <v>1162287.6442910915</v>
      </c>
      <c r="G204" s="1">
        <v>4145</v>
      </c>
      <c r="H204" s="1">
        <v>1162287.6442910915</v>
      </c>
      <c r="I204" s="1">
        <v>3188</v>
      </c>
      <c r="J204" s="1">
        <v>893938</v>
      </c>
    </row>
    <row r="205" spans="1:10" x14ac:dyDescent="0.45">
      <c r="A205" t="s">
        <v>410</v>
      </c>
      <c r="B205" t="s">
        <v>411</v>
      </c>
      <c r="C205" s="1">
        <v>3744</v>
      </c>
      <c r="D205" s="1">
        <v>871791.7</v>
      </c>
      <c r="E205" s="1">
        <v>3744</v>
      </c>
      <c r="F205" s="1">
        <v>871791.7</v>
      </c>
      <c r="G205" s="1">
        <v>3744</v>
      </c>
      <c r="H205" s="1">
        <v>871791.7</v>
      </c>
      <c r="I205" s="1">
        <v>2880</v>
      </c>
      <c r="J205" s="1">
        <v>670609</v>
      </c>
    </row>
    <row r="206" spans="1:10" x14ac:dyDescent="0.45">
      <c r="A206" t="s">
        <v>412</v>
      </c>
      <c r="B206" t="s">
        <v>413</v>
      </c>
      <c r="C206" s="1">
        <v>4248</v>
      </c>
      <c r="D206" s="1">
        <v>948560.07017931703</v>
      </c>
      <c r="E206" s="1">
        <v>4248</v>
      </c>
      <c r="F206" s="1">
        <v>948560.07017931703</v>
      </c>
      <c r="G206" s="1">
        <v>4248</v>
      </c>
      <c r="H206" s="1">
        <v>948560.07017931703</v>
      </c>
      <c r="I206" s="1">
        <v>3268</v>
      </c>
      <c r="J206" s="1">
        <v>729742</v>
      </c>
    </row>
    <row r="207" spans="1:10" x14ac:dyDescent="0.45">
      <c r="A207" t="s">
        <v>414</v>
      </c>
      <c r="B207" t="s">
        <v>415</v>
      </c>
      <c r="C207" s="1">
        <v>550</v>
      </c>
      <c r="D207" s="1">
        <v>172141.25603864732</v>
      </c>
      <c r="E207" s="1">
        <v>550</v>
      </c>
      <c r="F207" s="1">
        <v>172141.25603864732</v>
      </c>
      <c r="G207" s="1">
        <v>550</v>
      </c>
      <c r="H207" s="1">
        <v>172141.25603864732</v>
      </c>
      <c r="I207" s="1">
        <v>423</v>
      </c>
      <c r="J207" s="1">
        <v>132400</v>
      </c>
    </row>
    <row r="208" spans="1:10" x14ac:dyDescent="0.45">
      <c r="A208" t="s">
        <v>416</v>
      </c>
      <c r="B208" t="s">
        <v>417</v>
      </c>
      <c r="C208" s="1">
        <v>9</v>
      </c>
      <c r="D208" s="1">
        <v>6274.2857142857138</v>
      </c>
      <c r="E208" s="1">
        <v>9</v>
      </c>
      <c r="F208" s="1">
        <v>6274.2857142857138</v>
      </c>
      <c r="G208" s="1">
        <v>9</v>
      </c>
      <c r="H208" s="1">
        <v>6274.2857142857138</v>
      </c>
      <c r="I208" s="1">
        <v>97</v>
      </c>
      <c r="J208" s="1">
        <v>57170</v>
      </c>
    </row>
    <row r="209" spans="1:10" x14ac:dyDescent="0.45">
      <c r="A209" t="s">
        <v>418</v>
      </c>
      <c r="B209" t="s">
        <v>419</v>
      </c>
      <c r="C209" s="1">
        <v>962</v>
      </c>
      <c r="D209" s="1">
        <v>149593.76470588235</v>
      </c>
      <c r="E209" s="1">
        <v>962</v>
      </c>
      <c r="F209" s="1">
        <v>149593.76470588235</v>
      </c>
      <c r="G209" s="1">
        <v>962</v>
      </c>
      <c r="H209" s="1">
        <v>149593.76470588235</v>
      </c>
      <c r="I209" s="1">
        <v>740</v>
      </c>
      <c r="J209" s="1">
        <v>115070</v>
      </c>
    </row>
    <row r="210" spans="1:10" x14ac:dyDescent="0.45">
      <c r="A210" t="s">
        <v>420</v>
      </c>
      <c r="B210" t="s">
        <v>421</v>
      </c>
      <c r="C210" s="1">
        <v>13</v>
      </c>
      <c r="D210" s="1">
        <v>3796</v>
      </c>
      <c r="E210" s="1">
        <v>13</v>
      </c>
      <c r="F210" s="1">
        <v>3796</v>
      </c>
      <c r="G210" s="1">
        <v>13</v>
      </c>
      <c r="H210" s="1">
        <v>3796</v>
      </c>
      <c r="I210" s="1">
        <v>10</v>
      </c>
      <c r="J210" s="1">
        <v>2920</v>
      </c>
    </row>
    <row r="211" spans="1:10" x14ac:dyDescent="0.45">
      <c r="A211" t="s">
        <v>422</v>
      </c>
      <c r="B211" t="s">
        <v>423</v>
      </c>
      <c r="C211" s="1">
        <v>603</v>
      </c>
      <c r="D211" s="1">
        <v>218823.65902724728</v>
      </c>
      <c r="E211" s="1">
        <v>603</v>
      </c>
      <c r="F211" s="1">
        <v>218823.65902724728</v>
      </c>
      <c r="G211" s="1">
        <v>603</v>
      </c>
      <c r="H211" s="1">
        <v>218823.65902724728</v>
      </c>
      <c r="I211" s="1">
        <v>464</v>
      </c>
      <c r="J211" s="1">
        <v>168387</v>
      </c>
    </row>
    <row r="212" spans="1:10" x14ac:dyDescent="0.45">
      <c r="A212" t="s">
        <v>424</v>
      </c>
      <c r="B212" t="s">
        <v>425</v>
      </c>
      <c r="C212" s="1">
        <v>845</v>
      </c>
      <c r="D212" s="1">
        <v>200265</v>
      </c>
      <c r="E212" s="1">
        <v>845</v>
      </c>
      <c r="F212" s="1">
        <v>200265</v>
      </c>
      <c r="G212" s="1">
        <v>845</v>
      </c>
      <c r="H212" s="1">
        <v>200265</v>
      </c>
      <c r="I212" s="1">
        <v>650</v>
      </c>
      <c r="J212" s="1">
        <v>154050</v>
      </c>
    </row>
    <row r="213" spans="1:10" x14ac:dyDescent="0.45">
      <c r="A213" t="s">
        <v>426</v>
      </c>
      <c r="B213" t="s">
        <v>427</v>
      </c>
      <c r="C213" s="1">
        <v>35713</v>
      </c>
      <c r="D213" s="1">
        <v>15092124.275793402</v>
      </c>
      <c r="E213" s="1">
        <v>35713</v>
      </c>
      <c r="F213" s="1">
        <v>15092124.275793402</v>
      </c>
      <c r="G213" s="1">
        <v>35778</v>
      </c>
      <c r="H213" s="1">
        <v>15115849.275793402</v>
      </c>
      <c r="I213" s="1">
        <v>25396</v>
      </c>
      <c r="J213" s="1">
        <v>10704458</v>
      </c>
    </row>
    <row r="214" spans="1:10" x14ac:dyDescent="0.45">
      <c r="A214" t="s">
        <v>428</v>
      </c>
      <c r="B214" t="s">
        <v>429</v>
      </c>
      <c r="C214" s="1">
        <v>82167</v>
      </c>
      <c r="D214" s="1">
        <v>27936850.200427182</v>
      </c>
      <c r="E214" s="1">
        <v>82167</v>
      </c>
      <c r="F214" s="1">
        <v>27936850.200427182</v>
      </c>
      <c r="G214" s="1">
        <v>82167</v>
      </c>
      <c r="H214" s="1">
        <v>27936850.200427182</v>
      </c>
      <c r="I214" s="1">
        <v>63205</v>
      </c>
      <c r="J214" s="1">
        <v>21489754</v>
      </c>
    </row>
    <row r="215" spans="1:10" x14ac:dyDescent="0.45">
      <c r="A215" t="s">
        <v>430</v>
      </c>
      <c r="B215" t="s">
        <v>431</v>
      </c>
      <c r="C215" s="1">
        <v>1800</v>
      </c>
      <c r="D215" s="1">
        <v>754320</v>
      </c>
      <c r="E215" s="1">
        <v>1800</v>
      </c>
      <c r="F215" s="1">
        <v>754320</v>
      </c>
      <c r="G215" s="1">
        <v>1800</v>
      </c>
      <c r="H215" s="1">
        <v>754320</v>
      </c>
      <c r="I215" s="1">
        <v>29</v>
      </c>
      <c r="J215" s="1">
        <v>182294</v>
      </c>
    </row>
    <row r="216" spans="1:10" x14ac:dyDescent="0.45">
      <c r="A216" t="s">
        <v>432</v>
      </c>
      <c r="B216" t="s">
        <v>433</v>
      </c>
      <c r="C216" s="1">
        <v>8743</v>
      </c>
      <c r="D216" s="1">
        <v>5377555.7471027877</v>
      </c>
      <c r="E216" s="1">
        <v>8743</v>
      </c>
      <c r="F216" s="1">
        <v>5377555.7471027877</v>
      </c>
      <c r="G216" s="1">
        <v>8957</v>
      </c>
      <c r="H216" s="1">
        <v>5501035.0519808363</v>
      </c>
      <c r="I216" s="1">
        <v>6715</v>
      </c>
      <c r="J216" s="1">
        <v>4125041</v>
      </c>
    </row>
    <row r="217" spans="1:10" x14ac:dyDescent="0.45">
      <c r="A217" t="s">
        <v>434</v>
      </c>
      <c r="B217" t="s">
        <v>435</v>
      </c>
      <c r="C217" s="1">
        <v>10920</v>
      </c>
      <c r="D217" s="1">
        <v>2144883</v>
      </c>
      <c r="E217" s="1">
        <v>10920</v>
      </c>
      <c r="F217" s="1">
        <v>2144883</v>
      </c>
      <c r="G217" s="1">
        <v>10920</v>
      </c>
      <c r="H217" s="1">
        <v>2144883</v>
      </c>
      <c r="I217" s="1">
        <v>8400</v>
      </c>
      <c r="J217" s="1">
        <v>1649910</v>
      </c>
    </row>
    <row r="218" spans="1:10" x14ac:dyDescent="0.45">
      <c r="A218" t="s">
        <v>436</v>
      </c>
      <c r="B218" t="s">
        <v>437</v>
      </c>
      <c r="C218" s="1">
        <v>5460</v>
      </c>
      <c r="D218" s="1">
        <v>1577037.7999999998</v>
      </c>
      <c r="E218" s="1">
        <v>5460</v>
      </c>
      <c r="F218" s="1">
        <v>1577037.7999999998</v>
      </c>
      <c r="G218" s="1">
        <v>5460</v>
      </c>
      <c r="H218" s="1">
        <v>1577037.7999999998</v>
      </c>
      <c r="I218" s="1">
        <v>4200</v>
      </c>
      <c r="J218" s="1">
        <v>1213106</v>
      </c>
    </row>
    <row r="219" spans="1:10" x14ac:dyDescent="0.45">
      <c r="A219" t="s">
        <v>438</v>
      </c>
      <c r="B219" t="s">
        <v>439</v>
      </c>
      <c r="C219" s="1">
        <v>2412</v>
      </c>
      <c r="D219" s="1">
        <v>2408395.548601036</v>
      </c>
      <c r="E219" s="1">
        <v>2412</v>
      </c>
      <c r="F219" s="1">
        <v>2408395.548601036</v>
      </c>
      <c r="G219" s="1">
        <v>2557</v>
      </c>
      <c r="H219" s="1">
        <v>2545513.2963487832</v>
      </c>
      <c r="I219" s="1">
        <v>1965</v>
      </c>
      <c r="J219" s="1">
        <v>1946396</v>
      </c>
    </row>
    <row r="220" spans="1:10" x14ac:dyDescent="0.45">
      <c r="A220" t="s">
        <v>440</v>
      </c>
      <c r="B220" t="s">
        <v>441</v>
      </c>
      <c r="C220" s="1">
        <v>630</v>
      </c>
      <c r="D220" s="1">
        <v>682520.99999999988</v>
      </c>
      <c r="E220" s="1">
        <v>630</v>
      </c>
      <c r="F220" s="1">
        <v>682520.99999999988</v>
      </c>
      <c r="G220" s="1">
        <v>630</v>
      </c>
      <c r="H220" s="1">
        <v>682520.99999999988</v>
      </c>
      <c r="I220" s="1">
        <v>32</v>
      </c>
      <c r="J220" s="1">
        <v>520016</v>
      </c>
    </row>
    <row r="221" spans="1:10" x14ac:dyDescent="0.45">
      <c r="A221" t="s">
        <v>442</v>
      </c>
      <c r="B221" t="s">
        <v>443</v>
      </c>
      <c r="C221" s="1">
        <v>10182</v>
      </c>
      <c r="D221" s="1">
        <v>5228512.2021256415</v>
      </c>
      <c r="E221" s="1">
        <v>10182</v>
      </c>
      <c r="F221" s="1">
        <v>5228512.2021256415</v>
      </c>
      <c r="G221" s="1">
        <v>11226</v>
      </c>
      <c r="H221" s="1">
        <v>5710754.3939064629</v>
      </c>
      <c r="I221" s="1">
        <v>8637</v>
      </c>
      <c r="J221" s="1">
        <v>4393715</v>
      </c>
    </row>
    <row r="222" spans="1:10" x14ac:dyDescent="0.45">
      <c r="A222" t="s">
        <v>444</v>
      </c>
      <c r="B222" t="s">
        <v>445</v>
      </c>
      <c r="C222" s="1">
        <v>2160</v>
      </c>
      <c r="D222" s="1">
        <v>1135440</v>
      </c>
      <c r="E222" s="1">
        <v>2160</v>
      </c>
      <c r="F222" s="1">
        <v>1135440</v>
      </c>
      <c r="G222" s="1">
        <v>2160</v>
      </c>
      <c r="H222" s="1">
        <v>1135440</v>
      </c>
      <c r="I222" s="1">
        <v>105</v>
      </c>
      <c r="J222" s="1">
        <v>827925</v>
      </c>
    </row>
    <row r="223" spans="1:10" x14ac:dyDescent="0.45">
      <c r="A223" t="s">
        <v>446</v>
      </c>
      <c r="B223" t="s">
        <v>447</v>
      </c>
      <c r="C223" s="1">
        <v>4375</v>
      </c>
      <c r="D223" s="1">
        <v>2541226.9541162229</v>
      </c>
      <c r="E223" s="1">
        <v>4375</v>
      </c>
      <c r="F223" s="1">
        <v>2541226.9541162229</v>
      </c>
      <c r="G223" s="1">
        <v>6305</v>
      </c>
      <c r="H223" s="1">
        <v>3635536.9541162229</v>
      </c>
      <c r="I223" s="1">
        <v>4851</v>
      </c>
      <c r="J223" s="1">
        <v>2797195</v>
      </c>
    </row>
    <row r="224" spans="1:10" x14ac:dyDescent="0.45">
      <c r="A224" t="s">
        <v>448</v>
      </c>
      <c r="B224" t="s">
        <v>449</v>
      </c>
      <c r="C224" s="1">
        <v>9561</v>
      </c>
      <c r="D224" s="1">
        <v>6387811.1199998893</v>
      </c>
      <c r="E224" s="1">
        <v>9561</v>
      </c>
      <c r="F224" s="1">
        <v>6387811.1199998893</v>
      </c>
      <c r="G224" s="1">
        <v>11396</v>
      </c>
      <c r="H224" s="1">
        <v>7567038.0590996249</v>
      </c>
      <c r="I224" s="1">
        <v>8778</v>
      </c>
      <c r="J224" s="1">
        <v>5962085</v>
      </c>
    </row>
    <row r="225" spans="1:10" x14ac:dyDescent="0.45">
      <c r="A225" t="s">
        <v>450</v>
      </c>
      <c r="B225" t="s">
        <v>451</v>
      </c>
      <c r="C225" s="1">
        <v>1710</v>
      </c>
      <c r="D225" s="1">
        <v>1238146.297297297</v>
      </c>
      <c r="E225" s="1">
        <v>1710</v>
      </c>
      <c r="F225" s="1">
        <v>1238146.297297297</v>
      </c>
      <c r="G225" s="1">
        <v>1710</v>
      </c>
      <c r="H225" s="1">
        <v>1238146.297297297</v>
      </c>
      <c r="I225" s="1">
        <v>74</v>
      </c>
      <c r="J225" s="1">
        <v>803709</v>
      </c>
    </row>
    <row r="226" spans="1:10" x14ac:dyDescent="0.45">
      <c r="A226" t="s">
        <v>452</v>
      </c>
      <c r="B226" t="s">
        <v>453</v>
      </c>
      <c r="C226" s="1">
        <v>87</v>
      </c>
      <c r="D226" s="1">
        <v>76871.641791044778</v>
      </c>
      <c r="E226" s="1">
        <v>87</v>
      </c>
      <c r="F226" s="1">
        <v>76871.641791044778</v>
      </c>
      <c r="G226" s="1">
        <v>87</v>
      </c>
      <c r="H226" s="1">
        <v>76871.641791044778</v>
      </c>
      <c r="I226" s="1">
        <v>67</v>
      </c>
      <c r="J226" s="1">
        <v>59200</v>
      </c>
    </row>
    <row r="227" spans="1:10" x14ac:dyDescent="0.45">
      <c r="A227" t="s">
        <v>454</v>
      </c>
      <c r="B227" t="s">
        <v>455</v>
      </c>
      <c r="C227" s="1">
        <v>260</v>
      </c>
      <c r="D227" s="1">
        <v>222300</v>
      </c>
      <c r="E227" s="1">
        <v>260</v>
      </c>
      <c r="F227" s="1">
        <v>222300</v>
      </c>
      <c r="G227" s="1">
        <v>260</v>
      </c>
      <c r="H227" s="1">
        <v>222300</v>
      </c>
      <c r="I227" s="1">
        <v>200</v>
      </c>
      <c r="J227" s="1">
        <v>171000</v>
      </c>
    </row>
    <row r="228" spans="1:10" x14ac:dyDescent="0.45">
      <c r="A228" t="s">
        <v>456</v>
      </c>
      <c r="B228" t="s">
        <v>457</v>
      </c>
      <c r="C228" s="1">
        <v>25155</v>
      </c>
      <c r="D228" s="1">
        <v>4953374.4000000004</v>
      </c>
      <c r="E228" s="1">
        <v>25155</v>
      </c>
      <c r="F228" s="1">
        <v>4953374.4000000004</v>
      </c>
      <c r="G228" s="1">
        <v>25155</v>
      </c>
      <c r="H228" s="1">
        <v>4953374.4000000004</v>
      </c>
      <c r="I228" s="1">
        <v>19350</v>
      </c>
      <c r="J228" s="1">
        <v>3810288</v>
      </c>
    </row>
    <row r="229" spans="1:10" x14ac:dyDescent="0.45">
      <c r="A229" t="s">
        <v>458</v>
      </c>
      <c r="B229" t="s">
        <v>459</v>
      </c>
      <c r="C229" s="1">
        <v>18265</v>
      </c>
      <c r="D229" s="1">
        <v>6124697.8000000007</v>
      </c>
      <c r="E229" s="1">
        <v>18265</v>
      </c>
      <c r="F229" s="1">
        <v>6124697.8000000007</v>
      </c>
      <c r="G229" s="1">
        <v>18265</v>
      </c>
      <c r="H229" s="1">
        <v>6124697.8000000007</v>
      </c>
      <c r="I229" s="1">
        <v>14050</v>
      </c>
      <c r="J229" s="1">
        <v>4711306</v>
      </c>
    </row>
    <row r="230" spans="1:10" x14ac:dyDescent="0.45">
      <c r="A230" t="s">
        <v>460</v>
      </c>
      <c r="B230" t="s">
        <v>461</v>
      </c>
      <c r="C230" s="1">
        <v>721958</v>
      </c>
      <c r="D230" s="1">
        <v>26269023.914945286</v>
      </c>
      <c r="E230" s="1">
        <v>756625</v>
      </c>
      <c r="F230" s="1">
        <v>27449203.450014584</v>
      </c>
      <c r="G230" s="1">
        <v>856625</v>
      </c>
      <c r="H230" s="1">
        <v>30739213.34121142</v>
      </c>
      <c r="I230" s="1">
        <v>611436</v>
      </c>
      <c r="J230" s="1">
        <v>23439775</v>
      </c>
    </row>
    <row r="231" spans="1:10" x14ac:dyDescent="0.45">
      <c r="A231" t="s">
        <v>462</v>
      </c>
      <c r="B231" t="s">
        <v>463</v>
      </c>
      <c r="C231" s="1">
        <v>261166</v>
      </c>
      <c r="D231" s="1">
        <v>9536528.7668857519</v>
      </c>
      <c r="E231" s="1">
        <v>279499</v>
      </c>
      <c r="F231" s="1">
        <v>10207503.14739814</v>
      </c>
      <c r="G231" s="1">
        <v>279499</v>
      </c>
      <c r="H231" s="1">
        <v>10207503.14739814</v>
      </c>
      <c r="I231" s="1">
        <v>174068</v>
      </c>
      <c r="J231" s="1">
        <v>7219355</v>
      </c>
    </row>
    <row r="232" spans="1:10" x14ac:dyDescent="0.45">
      <c r="A232" t="s">
        <v>464</v>
      </c>
      <c r="B232" t="s">
        <v>465</v>
      </c>
      <c r="C232" s="1">
        <v>100554</v>
      </c>
      <c r="D232" s="1">
        <v>4332424.0837792242</v>
      </c>
      <c r="E232" s="1">
        <v>102721</v>
      </c>
      <c r="F232" s="1">
        <v>4424719.824631054</v>
      </c>
      <c r="G232" s="1">
        <v>102721</v>
      </c>
      <c r="H232" s="1">
        <v>4424719.824631054</v>
      </c>
      <c r="I232" s="1">
        <v>79015</v>
      </c>
      <c r="J232" s="1">
        <v>3403584</v>
      </c>
    </row>
    <row r="233" spans="1:10" x14ac:dyDescent="0.45">
      <c r="A233" t="s">
        <v>466</v>
      </c>
      <c r="B233" t="s">
        <v>467</v>
      </c>
      <c r="C233" s="1">
        <v>217</v>
      </c>
      <c r="D233" s="1">
        <v>13860.712574850299</v>
      </c>
      <c r="E233" s="1">
        <v>1300</v>
      </c>
      <c r="F233" s="1">
        <v>79191.744987815488</v>
      </c>
      <c r="G233" s="1">
        <v>1300</v>
      </c>
      <c r="H233" s="1">
        <v>79191.744987815488</v>
      </c>
      <c r="I233" s="1">
        <v>1000</v>
      </c>
      <c r="J233" s="1">
        <v>60917</v>
      </c>
    </row>
    <row r="234" spans="1:10" x14ac:dyDescent="0.45">
      <c r="A234" t="s">
        <v>468</v>
      </c>
      <c r="B234" t="s">
        <v>469</v>
      </c>
      <c r="C234" s="1">
        <v>243358</v>
      </c>
      <c r="D234" s="1">
        <v>103103903.63307242</v>
      </c>
      <c r="E234" s="1">
        <v>243358</v>
      </c>
      <c r="F234" s="1">
        <v>103103903.63307242</v>
      </c>
      <c r="G234" s="1">
        <v>243352</v>
      </c>
      <c r="H234" s="1">
        <v>103101429.97226441</v>
      </c>
      <c r="I234" s="1">
        <v>187193</v>
      </c>
      <c r="J234" s="1">
        <v>79308417</v>
      </c>
    </row>
    <row r="235" spans="1:10" x14ac:dyDescent="0.45">
      <c r="A235" t="s">
        <v>470</v>
      </c>
      <c r="B235" t="s">
        <v>471</v>
      </c>
      <c r="C235" s="1">
        <v>16098</v>
      </c>
      <c r="D235" s="1">
        <v>10845063.54896719</v>
      </c>
      <c r="E235" s="1">
        <v>16098</v>
      </c>
      <c r="F235" s="1">
        <v>10845063.54896719</v>
      </c>
      <c r="G235" s="1">
        <v>16098</v>
      </c>
      <c r="H235" s="1">
        <v>10845063.54896719</v>
      </c>
      <c r="I235" s="1">
        <v>12384</v>
      </c>
      <c r="J235" s="1">
        <v>8343039</v>
      </c>
    </row>
    <row r="236" spans="1:10" x14ac:dyDescent="0.45">
      <c r="A236" t="s">
        <v>472</v>
      </c>
      <c r="B236" t="s">
        <v>473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1628</v>
      </c>
      <c r="J236" s="1">
        <v>130267</v>
      </c>
    </row>
    <row r="237" spans="1:10" x14ac:dyDescent="0.45">
      <c r="A237" t="s">
        <v>474</v>
      </c>
      <c r="B237" t="s">
        <v>475</v>
      </c>
      <c r="C237" s="1">
        <v>4093</v>
      </c>
      <c r="D237" s="1">
        <v>2778156.5693871072</v>
      </c>
      <c r="E237" s="1">
        <v>4093</v>
      </c>
      <c r="F237" s="1">
        <v>2778156.5693871072</v>
      </c>
      <c r="G237" s="1">
        <v>4093</v>
      </c>
      <c r="H237" s="1">
        <v>2778156.5693871072</v>
      </c>
      <c r="I237" s="1">
        <v>3149</v>
      </c>
      <c r="J237" s="1">
        <v>2137409</v>
      </c>
    </row>
    <row r="238" spans="1:10" x14ac:dyDescent="0.45">
      <c r="A238" t="s">
        <v>476</v>
      </c>
      <c r="B238" t="s">
        <v>477</v>
      </c>
      <c r="C238" s="1">
        <v>1182</v>
      </c>
      <c r="D238" s="1">
        <v>1183244.7181429681</v>
      </c>
      <c r="E238" s="1">
        <v>1182</v>
      </c>
      <c r="F238" s="1">
        <v>1183244.7181429681</v>
      </c>
      <c r="G238" s="1">
        <v>1182</v>
      </c>
      <c r="H238" s="1">
        <v>1183244.7181429681</v>
      </c>
      <c r="I238" s="1">
        <v>909</v>
      </c>
      <c r="J238" s="1">
        <v>909962</v>
      </c>
    </row>
    <row r="239" spans="1:10" x14ac:dyDescent="0.45">
      <c r="A239" t="s">
        <v>478</v>
      </c>
      <c r="B239" t="s">
        <v>479</v>
      </c>
      <c r="C239" s="1">
        <v>2157</v>
      </c>
      <c r="D239" s="1">
        <v>1724518.2495479204</v>
      </c>
      <c r="E239" s="1">
        <v>2157</v>
      </c>
      <c r="F239" s="1">
        <v>1724518.2495479204</v>
      </c>
      <c r="G239" s="1">
        <v>2157</v>
      </c>
      <c r="H239" s="1">
        <v>1724518.2495479204</v>
      </c>
      <c r="I239" s="1">
        <v>1659</v>
      </c>
      <c r="J239" s="1">
        <v>1326368</v>
      </c>
    </row>
    <row r="240" spans="1:10" x14ac:dyDescent="0.45">
      <c r="A240" t="s">
        <v>480</v>
      </c>
      <c r="B240" t="s">
        <v>481</v>
      </c>
      <c r="C240" s="1">
        <v>3072</v>
      </c>
      <c r="D240" s="1">
        <v>361974.68303004658</v>
      </c>
      <c r="E240" s="1">
        <v>3072</v>
      </c>
      <c r="F240" s="1">
        <v>361974.68303004658</v>
      </c>
      <c r="G240" s="1">
        <v>3072</v>
      </c>
      <c r="H240" s="1">
        <v>361974.68303004658</v>
      </c>
      <c r="I240" s="1">
        <v>2363</v>
      </c>
      <c r="J240" s="1">
        <v>278433</v>
      </c>
    </row>
    <row r="241" spans="1:10" x14ac:dyDescent="0.45">
      <c r="A241" t="s">
        <v>482</v>
      </c>
      <c r="B241" t="s">
        <v>483</v>
      </c>
      <c r="C241" s="1">
        <v>10842</v>
      </c>
      <c r="D241" s="1">
        <v>845676</v>
      </c>
      <c r="E241" s="1">
        <v>10842</v>
      </c>
      <c r="F241" s="1">
        <v>845676</v>
      </c>
      <c r="G241" s="1">
        <v>10842</v>
      </c>
      <c r="H241" s="1">
        <v>845676</v>
      </c>
      <c r="I241" s="1">
        <v>8340</v>
      </c>
      <c r="J241" s="1">
        <v>650520</v>
      </c>
    </row>
    <row r="242" spans="1:10" x14ac:dyDescent="0.45">
      <c r="A242" t="s">
        <v>484</v>
      </c>
      <c r="B242" t="s">
        <v>485</v>
      </c>
      <c r="C242" s="1">
        <v>4593</v>
      </c>
      <c r="D242" s="1">
        <v>3238370.506651571</v>
      </c>
      <c r="E242" s="1">
        <v>4593</v>
      </c>
      <c r="F242" s="1">
        <v>3238370.506651571</v>
      </c>
      <c r="G242" s="1">
        <v>4593</v>
      </c>
      <c r="H242" s="1">
        <v>3238370.506651571</v>
      </c>
      <c r="I242" s="1">
        <v>3533</v>
      </c>
      <c r="J242" s="1">
        <v>2491000</v>
      </c>
    </row>
    <row r="243" spans="1:10" x14ac:dyDescent="0.45">
      <c r="A243" t="s">
        <v>486</v>
      </c>
      <c r="B243" t="s">
        <v>487</v>
      </c>
      <c r="C243" s="1">
        <v>312</v>
      </c>
      <c r="D243" s="1">
        <v>360733.10000000003</v>
      </c>
      <c r="E243" s="1">
        <v>312</v>
      </c>
      <c r="F243" s="1">
        <v>360733.10000000003</v>
      </c>
      <c r="G243" s="1">
        <v>312</v>
      </c>
      <c r="H243" s="1">
        <v>360733.10000000003</v>
      </c>
      <c r="I243" s="1">
        <v>240</v>
      </c>
      <c r="J243" s="1">
        <v>277487</v>
      </c>
    </row>
    <row r="244" spans="1:10" x14ac:dyDescent="0.45">
      <c r="A244" t="s">
        <v>488</v>
      </c>
      <c r="B244" t="s">
        <v>489</v>
      </c>
      <c r="C244" s="1">
        <v>1365</v>
      </c>
      <c r="D244" s="1">
        <v>1127490</v>
      </c>
      <c r="E244" s="1">
        <v>1365</v>
      </c>
      <c r="F244" s="1">
        <v>1127490</v>
      </c>
      <c r="G244" s="1">
        <v>1365</v>
      </c>
      <c r="H244" s="1">
        <v>1127490</v>
      </c>
      <c r="I244" s="1">
        <v>1050</v>
      </c>
      <c r="J244" s="1">
        <v>867300</v>
      </c>
    </row>
    <row r="245" spans="1:10" x14ac:dyDescent="0.45">
      <c r="A245" t="s">
        <v>490</v>
      </c>
      <c r="B245" t="s">
        <v>491</v>
      </c>
      <c r="C245" s="1">
        <v>607</v>
      </c>
      <c r="D245" s="1">
        <v>916219.05781584582</v>
      </c>
      <c r="E245" s="1">
        <v>607</v>
      </c>
      <c r="F245" s="1">
        <v>916219.05781584582</v>
      </c>
      <c r="G245" s="1">
        <v>607</v>
      </c>
      <c r="H245" s="1">
        <v>916219.05781584582</v>
      </c>
      <c r="I245" s="1">
        <v>467</v>
      </c>
      <c r="J245" s="1">
        <v>704900</v>
      </c>
    </row>
    <row r="246" spans="1:10" x14ac:dyDescent="0.45">
      <c r="A246" t="s">
        <v>492</v>
      </c>
      <c r="B246" t="s">
        <v>493</v>
      </c>
      <c r="C246" s="1">
        <v>8757</v>
      </c>
      <c r="D246" s="1">
        <v>3765789.5063836104</v>
      </c>
      <c r="E246" s="1">
        <v>8757</v>
      </c>
      <c r="F246" s="1">
        <v>3765789.5063836104</v>
      </c>
      <c r="G246" s="1">
        <v>8757</v>
      </c>
      <c r="H246" s="1">
        <v>3765789.5063836104</v>
      </c>
      <c r="I246" s="1">
        <v>6736</v>
      </c>
      <c r="J246" s="1">
        <v>2896695</v>
      </c>
    </row>
    <row r="247" spans="1:10" x14ac:dyDescent="0.45">
      <c r="A247" t="s">
        <v>494</v>
      </c>
      <c r="B247" t="s">
        <v>495</v>
      </c>
      <c r="C247" s="1">
        <v>5763</v>
      </c>
      <c r="D247" s="1">
        <v>6178877.2163320547</v>
      </c>
      <c r="E247" s="1">
        <v>5763</v>
      </c>
      <c r="F247" s="1">
        <v>6178877.2163320547</v>
      </c>
      <c r="G247" s="1">
        <v>5763</v>
      </c>
      <c r="H247" s="1">
        <v>6178877.2163320547</v>
      </c>
      <c r="I247" s="1">
        <v>4433</v>
      </c>
      <c r="J247" s="1">
        <v>4752900</v>
      </c>
    </row>
    <row r="248" spans="1:10" x14ac:dyDescent="0.45">
      <c r="A248" t="s">
        <v>496</v>
      </c>
      <c r="B248" t="s">
        <v>497</v>
      </c>
      <c r="C248" s="1">
        <v>8749</v>
      </c>
      <c r="D248" s="1">
        <v>12686823.5</v>
      </c>
      <c r="E248" s="1">
        <v>8749</v>
      </c>
      <c r="F248" s="1">
        <v>12686823.5</v>
      </c>
      <c r="G248" s="1">
        <v>8749</v>
      </c>
      <c r="H248" s="1">
        <v>12686823.5</v>
      </c>
      <c r="I248" s="1">
        <v>6730</v>
      </c>
      <c r="J248" s="1">
        <v>9759095</v>
      </c>
    </row>
    <row r="249" spans="1:10" x14ac:dyDescent="0.45">
      <c r="A249" t="s">
        <v>498</v>
      </c>
      <c r="B249" t="s">
        <v>499</v>
      </c>
      <c r="C249" s="1">
        <v>10833</v>
      </c>
      <c r="D249" s="1">
        <v>11353134.801392056</v>
      </c>
      <c r="E249" s="1">
        <v>10833</v>
      </c>
      <c r="F249" s="1">
        <v>11353134.801392056</v>
      </c>
      <c r="G249" s="1">
        <v>10833</v>
      </c>
      <c r="H249" s="1">
        <v>11353134.801392056</v>
      </c>
      <c r="I249" s="1">
        <v>8333</v>
      </c>
      <c r="J249" s="1">
        <v>8733100</v>
      </c>
    </row>
    <row r="250" spans="1:10" x14ac:dyDescent="0.45">
      <c r="A250" t="s">
        <v>500</v>
      </c>
      <c r="B250" t="s">
        <v>501</v>
      </c>
      <c r="C250" s="1">
        <v>5633</v>
      </c>
      <c r="D250" s="1">
        <v>4585614.3062543273</v>
      </c>
      <c r="E250" s="1">
        <v>5633</v>
      </c>
      <c r="F250" s="1">
        <v>4585614.3062543273</v>
      </c>
      <c r="G250" s="1">
        <v>5633</v>
      </c>
      <c r="H250" s="1">
        <v>4585614.3062543273</v>
      </c>
      <c r="I250" s="1">
        <v>4333</v>
      </c>
      <c r="J250" s="1">
        <v>3527333</v>
      </c>
    </row>
    <row r="251" spans="1:10" x14ac:dyDescent="0.45">
      <c r="A251" t="s">
        <v>502</v>
      </c>
      <c r="B251" t="s">
        <v>503</v>
      </c>
      <c r="C251" s="1">
        <v>607</v>
      </c>
      <c r="D251" s="1">
        <v>996285.86723768734</v>
      </c>
      <c r="E251" s="1">
        <v>607</v>
      </c>
      <c r="F251" s="1">
        <v>996285.86723768734</v>
      </c>
      <c r="G251" s="1">
        <v>607</v>
      </c>
      <c r="H251" s="1">
        <v>996285.86723768734</v>
      </c>
      <c r="I251" s="1">
        <v>467</v>
      </c>
      <c r="J251" s="1">
        <v>766500</v>
      </c>
    </row>
    <row r="252" spans="1:10" x14ac:dyDescent="0.45">
      <c r="A252" t="s">
        <v>504</v>
      </c>
      <c r="B252" t="s">
        <v>505</v>
      </c>
      <c r="C252" s="1">
        <v>4550</v>
      </c>
      <c r="D252" s="1">
        <v>3103100</v>
      </c>
      <c r="E252" s="1">
        <v>4550</v>
      </c>
      <c r="F252" s="1">
        <v>3103100</v>
      </c>
      <c r="G252" s="1">
        <v>4550</v>
      </c>
      <c r="H252" s="1">
        <v>3103100</v>
      </c>
      <c r="I252" s="1">
        <v>3500</v>
      </c>
      <c r="J252" s="1">
        <v>2387000</v>
      </c>
    </row>
    <row r="253" spans="1:10" x14ac:dyDescent="0.45">
      <c r="A253" t="s">
        <v>506</v>
      </c>
      <c r="B253" t="s">
        <v>507</v>
      </c>
      <c r="C253" s="1">
        <v>520</v>
      </c>
      <c r="D253" s="1">
        <v>313560</v>
      </c>
      <c r="E253" s="1">
        <v>520</v>
      </c>
      <c r="F253" s="1">
        <v>313560</v>
      </c>
      <c r="G253" s="1">
        <v>520</v>
      </c>
      <c r="H253" s="1">
        <v>313560</v>
      </c>
      <c r="I253" s="1">
        <v>400</v>
      </c>
      <c r="J253" s="1">
        <v>241200</v>
      </c>
    </row>
    <row r="254" spans="1:10" x14ac:dyDescent="0.45">
      <c r="A254" t="s">
        <v>508</v>
      </c>
      <c r="B254" t="s">
        <v>509</v>
      </c>
      <c r="C254" s="1">
        <v>3095</v>
      </c>
      <c r="D254" s="1">
        <v>1386851.2941176472</v>
      </c>
      <c r="E254" s="1">
        <v>3095</v>
      </c>
      <c r="F254" s="1">
        <v>1386851.2941176472</v>
      </c>
      <c r="G254" s="1">
        <v>3095</v>
      </c>
      <c r="H254" s="1">
        <v>1386851.2941176472</v>
      </c>
      <c r="I254" s="1">
        <v>2380</v>
      </c>
      <c r="J254" s="1">
        <v>1066464</v>
      </c>
    </row>
    <row r="255" spans="1:10" x14ac:dyDescent="0.45">
      <c r="A255" t="s">
        <v>510</v>
      </c>
      <c r="B255" t="s">
        <v>511</v>
      </c>
      <c r="C255" s="1">
        <v>18792</v>
      </c>
      <c r="D255" s="1">
        <v>7874030.0048426148</v>
      </c>
      <c r="E255" s="1">
        <v>18792</v>
      </c>
      <c r="F255" s="1">
        <v>7874030.0048426148</v>
      </c>
      <c r="G255" s="1">
        <v>18792</v>
      </c>
      <c r="H255" s="1">
        <v>7874030.0048426148</v>
      </c>
      <c r="I255" s="1">
        <v>14455</v>
      </c>
      <c r="J255" s="1">
        <v>6056785</v>
      </c>
    </row>
    <row r="256" spans="1:10" x14ac:dyDescent="0.45">
      <c r="A256" t="s">
        <v>512</v>
      </c>
      <c r="B256" t="s">
        <v>513</v>
      </c>
      <c r="C256" s="1">
        <v>3445</v>
      </c>
      <c r="D256" s="1">
        <v>3544255</v>
      </c>
      <c r="E256" s="1">
        <v>3445</v>
      </c>
      <c r="F256" s="1">
        <v>3544255</v>
      </c>
      <c r="G256" s="1">
        <v>3445</v>
      </c>
      <c r="H256" s="1">
        <v>3544255</v>
      </c>
      <c r="I256" s="1">
        <v>2650</v>
      </c>
      <c r="J256" s="1">
        <v>2726350</v>
      </c>
    </row>
    <row r="257" spans="1:10" x14ac:dyDescent="0.45">
      <c r="A257" t="s">
        <v>514</v>
      </c>
      <c r="B257" t="s">
        <v>515</v>
      </c>
      <c r="C257" s="1">
        <v>1170</v>
      </c>
      <c r="D257" s="1">
        <v>1053000</v>
      </c>
      <c r="E257" s="1">
        <v>1170</v>
      </c>
      <c r="F257" s="1">
        <v>1053000</v>
      </c>
      <c r="G257" s="1">
        <v>1170</v>
      </c>
      <c r="H257" s="1">
        <v>1053000</v>
      </c>
      <c r="I257" s="1">
        <v>900</v>
      </c>
      <c r="J257" s="1">
        <v>810000</v>
      </c>
    </row>
    <row r="258" spans="1:10" x14ac:dyDescent="0.45">
      <c r="A258" t="s">
        <v>516</v>
      </c>
      <c r="B258" t="s">
        <v>517</v>
      </c>
      <c r="C258" s="1">
        <v>282</v>
      </c>
      <c r="D258" s="1">
        <v>637748.84792626719</v>
      </c>
      <c r="E258" s="1">
        <v>282</v>
      </c>
      <c r="F258" s="1">
        <v>637748.84792626719</v>
      </c>
      <c r="G258" s="1">
        <v>282</v>
      </c>
      <c r="H258" s="1">
        <v>637748.84792626719</v>
      </c>
      <c r="I258" s="1">
        <v>217</v>
      </c>
      <c r="J258" s="1">
        <v>490750</v>
      </c>
    </row>
    <row r="259" spans="1:10" x14ac:dyDescent="0.45">
      <c r="A259" t="s">
        <v>518</v>
      </c>
      <c r="B259" t="s">
        <v>519</v>
      </c>
      <c r="C259" s="1">
        <v>4982</v>
      </c>
      <c r="D259" s="1">
        <v>6503230.889120793</v>
      </c>
      <c r="E259" s="1">
        <v>4982</v>
      </c>
      <c r="F259" s="1">
        <v>6503230.889120793</v>
      </c>
      <c r="G259" s="1">
        <v>4982</v>
      </c>
      <c r="H259" s="1">
        <v>6503230.889120793</v>
      </c>
      <c r="I259" s="1">
        <v>3833</v>
      </c>
      <c r="J259" s="1">
        <v>5003389</v>
      </c>
    </row>
    <row r="260" spans="1:10" x14ac:dyDescent="0.45">
      <c r="A260" t="s">
        <v>520</v>
      </c>
      <c r="B260" t="s">
        <v>521</v>
      </c>
      <c r="C260" s="1">
        <v>477</v>
      </c>
      <c r="D260" s="1">
        <v>693404.63215258846</v>
      </c>
      <c r="E260" s="1">
        <v>477</v>
      </c>
      <c r="F260" s="1">
        <v>693404.63215258846</v>
      </c>
      <c r="G260" s="1">
        <v>477</v>
      </c>
      <c r="H260" s="1">
        <v>693404.63215258846</v>
      </c>
      <c r="I260" s="1">
        <v>367</v>
      </c>
      <c r="J260" s="1">
        <v>533500</v>
      </c>
    </row>
    <row r="261" spans="1:10" x14ac:dyDescent="0.45">
      <c r="A261" t="s">
        <v>522</v>
      </c>
      <c r="B261" t="s">
        <v>523</v>
      </c>
      <c r="C261" s="1">
        <v>6692</v>
      </c>
      <c r="D261" s="1">
        <v>4342610.0330289491</v>
      </c>
      <c r="E261" s="1">
        <v>6692</v>
      </c>
      <c r="F261" s="1">
        <v>4342610.0330289491</v>
      </c>
      <c r="G261" s="1">
        <v>6692</v>
      </c>
      <c r="H261" s="1">
        <v>4342610.0330289491</v>
      </c>
      <c r="I261" s="1">
        <v>5147</v>
      </c>
      <c r="J261" s="1">
        <v>3340020</v>
      </c>
    </row>
    <row r="262" spans="1:10" x14ac:dyDescent="0.45">
      <c r="A262" t="s">
        <v>524</v>
      </c>
      <c r="B262" t="s">
        <v>525</v>
      </c>
      <c r="C262" s="1">
        <v>2990</v>
      </c>
      <c r="D262" s="1">
        <v>4234230</v>
      </c>
      <c r="E262" s="1">
        <v>2990</v>
      </c>
      <c r="F262" s="1">
        <v>4234230</v>
      </c>
      <c r="G262" s="1">
        <v>2990</v>
      </c>
      <c r="H262" s="1">
        <v>4234230</v>
      </c>
      <c r="I262" s="1">
        <v>2300</v>
      </c>
      <c r="J262" s="1">
        <v>3257100</v>
      </c>
    </row>
    <row r="263" spans="1:10" x14ac:dyDescent="0.45">
      <c r="A263" t="s">
        <v>526</v>
      </c>
      <c r="B263" t="s">
        <v>527</v>
      </c>
      <c r="C263" s="1">
        <v>758</v>
      </c>
      <c r="D263" s="1">
        <v>637842.04802744428</v>
      </c>
      <c r="E263" s="1">
        <v>758</v>
      </c>
      <c r="F263" s="1">
        <v>637842.04802744428</v>
      </c>
      <c r="G263" s="1">
        <v>758</v>
      </c>
      <c r="H263" s="1">
        <v>637842.04802744428</v>
      </c>
      <c r="I263" s="1">
        <v>583</v>
      </c>
      <c r="J263" s="1">
        <v>490583</v>
      </c>
    </row>
    <row r="264" spans="1:10" x14ac:dyDescent="0.45">
      <c r="A264" t="s">
        <v>528</v>
      </c>
      <c r="B264" t="s">
        <v>529</v>
      </c>
      <c r="C264" s="1">
        <v>1876</v>
      </c>
      <c r="D264" s="1">
        <v>2769969.9586751261</v>
      </c>
      <c r="E264" s="1">
        <v>1876</v>
      </c>
      <c r="F264" s="1">
        <v>2769969.9586751261</v>
      </c>
      <c r="G264" s="1">
        <v>1876</v>
      </c>
      <c r="H264" s="1">
        <v>2769969.9586751261</v>
      </c>
      <c r="I264" s="1">
        <v>1443</v>
      </c>
      <c r="J264" s="1">
        <v>2130657</v>
      </c>
    </row>
    <row r="265" spans="1:10" x14ac:dyDescent="0.45">
      <c r="A265" t="s">
        <v>530</v>
      </c>
      <c r="B265" t="s">
        <v>531</v>
      </c>
      <c r="C265" s="1">
        <v>2719</v>
      </c>
      <c r="D265" s="1">
        <v>4573948.3519846965</v>
      </c>
      <c r="E265" s="1">
        <v>2719</v>
      </c>
      <c r="F265" s="1">
        <v>4573948.3519846965</v>
      </c>
      <c r="G265" s="1">
        <v>2719</v>
      </c>
      <c r="H265" s="1">
        <v>4573948.3519846965</v>
      </c>
      <c r="I265" s="1">
        <v>2091</v>
      </c>
      <c r="J265" s="1">
        <v>3517516</v>
      </c>
    </row>
    <row r="266" spans="1:10" x14ac:dyDescent="0.45">
      <c r="A266" t="s">
        <v>532</v>
      </c>
      <c r="B266" t="s">
        <v>533</v>
      </c>
      <c r="C266" s="1">
        <v>650</v>
      </c>
      <c r="D266" s="1">
        <v>295750</v>
      </c>
      <c r="E266" s="1">
        <v>650</v>
      </c>
      <c r="F266" s="1">
        <v>295750</v>
      </c>
      <c r="G266" s="1">
        <v>650</v>
      </c>
      <c r="H266" s="1">
        <v>295750</v>
      </c>
      <c r="I266" s="1">
        <v>500</v>
      </c>
      <c r="J266" s="1">
        <v>227500</v>
      </c>
    </row>
    <row r="267" spans="1:10" x14ac:dyDescent="0.45">
      <c r="A267" t="s">
        <v>534</v>
      </c>
      <c r="B267" t="s">
        <v>535</v>
      </c>
      <c r="C267" s="1">
        <v>1422</v>
      </c>
      <c r="D267" s="1">
        <v>519924.27422303474</v>
      </c>
      <c r="E267" s="1">
        <v>1422</v>
      </c>
      <c r="F267" s="1">
        <v>519924.27422303474</v>
      </c>
      <c r="G267" s="1">
        <v>1422</v>
      </c>
      <c r="H267" s="1">
        <v>519924.27422303474</v>
      </c>
      <c r="I267" s="1">
        <v>1094</v>
      </c>
      <c r="J267" s="1">
        <v>399998</v>
      </c>
    </row>
    <row r="268" spans="1:10" x14ac:dyDescent="0.45">
      <c r="A268" t="s">
        <v>536</v>
      </c>
      <c r="B268" t="s">
        <v>537</v>
      </c>
      <c r="C268" s="1">
        <v>878</v>
      </c>
      <c r="D268" s="1">
        <v>563676</v>
      </c>
      <c r="E268" s="1">
        <v>878</v>
      </c>
      <c r="F268" s="1">
        <v>563676</v>
      </c>
      <c r="G268" s="1">
        <v>878</v>
      </c>
      <c r="H268" s="1">
        <v>563676</v>
      </c>
      <c r="I268" s="1">
        <v>675</v>
      </c>
      <c r="J268" s="1">
        <v>433350</v>
      </c>
    </row>
    <row r="269" spans="1:10" x14ac:dyDescent="0.45">
      <c r="A269" t="s">
        <v>538</v>
      </c>
      <c r="B269" t="s">
        <v>539</v>
      </c>
      <c r="C269" s="1">
        <v>906</v>
      </c>
      <c r="D269" s="1">
        <v>427062.66284074605</v>
      </c>
      <c r="E269" s="1">
        <v>906</v>
      </c>
      <c r="F269" s="1">
        <v>427062.66284074605</v>
      </c>
      <c r="G269" s="1">
        <v>906</v>
      </c>
      <c r="H269" s="1">
        <v>427062.66284074605</v>
      </c>
      <c r="I269" s="1">
        <v>697</v>
      </c>
      <c r="J269" s="1">
        <v>328546</v>
      </c>
    </row>
    <row r="270" spans="1:10" x14ac:dyDescent="0.45">
      <c r="A270" t="s">
        <v>540</v>
      </c>
      <c r="B270" t="s">
        <v>541</v>
      </c>
      <c r="C270" s="1">
        <v>336</v>
      </c>
      <c r="D270" s="1">
        <v>353569.29729729734</v>
      </c>
      <c r="E270" s="1">
        <v>336</v>
      </c>
      <c r="F270" s="1">
        <v>353569.29729729734</v>
      </c>
      <c r="G270" s="1">
        <v>336</v>
      </c>
      <c r="H270" s="1">
        <v>353569.29729729734</v>
      </c>
      <c r="I270" s="1">
        <v>259</v>
      </c>
      <c r="J270" s="1">
        <v>272543</v>
      </c>
    </row>
    <row r="271" spans="1:10" x14ac:dyDescent="0.45">
      <c r="A271" t="s">
        <v>542</v>
      </c>
      <c r="B271" t="s">
        <v>543</v>
      </c>
      <c r="C271" s="1">
        <v>438</v>
      </c>
      <c r="D271" s="1">
        <v>249413.05637982197</v>
      </c>
      <c r="E271" s="1">
        <v>438</v>
      </c>
      <c r="F271" s="1">
        <v>249413.05637982197</v>
      </c>
      <c r="G271" s="1">
        <v>438</v>
      </c>
      <c r="H271" s="1">
        <v>249413.05637982197</v>
      </c>
      <c r="I271" s="1">
        <v>337</v>
      </c>
      <c r="J271" s="1">
        <v>191900</v>
      </c>
    </row>
    <row r="272" spans="1:10" x14ac:dyDescent="0.45">
      <c r="A272" t="s">
        <v>544</v>
      </c>
      <c r="B272" t="s">
        <v>545</v>
      </c>
      <c r="C272" s="1">
        <v>895</v>
      </c>
      <c r="D272" s="1">
        <v>1462242.6744186047</v>
      </c>
      <c r="E272" s="1">
        <v>895</v>
      </c>
      <c r="F272" s="1">
        <v>1462242.6744186047</v>
      </c>
      <c r="G272" s="1">
        <v>895</v>
      </c>
      <c r="H272" s="1">
        <v>1462242.6744186047</v>
      </c>
      <c r="I272" s="1">
        <v>688</v>
      </c>
      <c r="J272" s="1">
        <v>1124048</v>
      </c>
    </row>
    <row r="273" spans="1:10" x14ac:dyDescent="0.45">
      <c r="A273" t="s">
        <v>546</v>
      </c>
      <c r="B273" t="s">
        <v>547</v>
      </c>
      <c r="C273" s="1">
        <v>454</v>
      </c>
      <c r="D273" s="1">
        <v>396985.92550143268</v>
      </c>
      <c r="E273" s="1">
        <v>454</v>
      </c>
      <c r="F273" s="1">
        <v>396985.92550143268</v>
      </c>
      <c r="G273" s="1">
        <v>454</v>
      </c>
      <c r="H273" s="1">
        <v>396985.92550143268</v>
      </c>
      <c r="I273" s="1">
        <v>349</v>
      </c>
      <c r="J273" s="1">
        <v>305172</v>
      </c>
    </row>
    <row r="274" spans="1:10" x14ac:dyDescent="0.45">
      <c r="A274" t="s">
        <v>548</v>
      </c>
      <c r="B274" t="s">
        <v>549</v>
      </c>
      <c r="C274" s="1">
        <v>217</v>
      </c>
      <c r="D274" s="1">
        <v>161775.4491017964</v>
      </c>
      <c r="E274" s="1">
        <v>217</v>
      </c>
      <c r="F274" s="1">
        <v>161775.4491017964</v>
      </c>
      <c r="G274" s="1">
        <v>217</v>
      </c>
      <c r="H274" s="1">
        <v>161775.4491017964</v>
      </c>
      <c r="I274" s="1">
        <v>167</v>
      </c>
      <c r="J274" s="1">
        <v>124500</v>
      </c>
    </row>
    <row r="275" spans="1:10" x14ac:dyDescent="0.45">
      <c r="A275" t="s">
        <v>550</v>
      </c>
      <c r="B275" t="s">
        <v>551</v>
      </c>
      <c r="C275" s="1">
        <v>860</v>
      </c>
      <c r="D275" s="1">
        <v>794116.97428139183</v>
      </c>
      <c r="E275" s="1">
        <v>860</v>
      </c>
      <c r="F275" s="1">
        <v>794116.97428139183</v>
      </c>
      <c r="G275" s="1">
        <v>860</v>
      </c>
      <c r="H275" s="1">
        <v>794116.97428139183</v>
      </c>
      <c r="I275" s="1">
        <v>661</v>
      </c>
      <c r="J275" s="1">
        <v>610362</v>
      </c>
    </row>
    <row r="276" spans="1:10" x14ac:dyDescent="0.45">
      <c r="A276" t="s">
        <v>552</v>
      </c>
      <c r="B276" t="s">
        <v>553</v>
      </c>
      <c r="C276" s="1">
        <v>620</v>
      </c>
      <c r="D276" s="1">
        <v>656349.93710691831</v>
      </c>
      <c r="E276" s="1">
        <v>620</v>
      </c>
      <c r="F276" s="1">
        <v>656349.93710691831</v>
      </c>
      <c r="G276" s="1">
        <v>620</v>
      </c>
      <c r="H276" s="1">
        <v>656349.93710691831</v>
      </c>
      <c r="I276" s="1">
        <v>477</v>
      </c>
      <c r="J276" s="1">
        <v>504966</v>
      </c>
    </row>
    <row r="277" spans="1:10" x14ac:dyDescent="0.45">
      <c r="A277" t="s">
        <v>554</v>
      </c>
      <c r="B277" t="s">
        <v>555</v>
      </c>
      <c r="C277" s="1">
        <v>217</v>
      </c>
      <c r="D277" s="1">
        <v>317486.59281437128</v>
      </c>
      <c r="E277" s="1">
        <v>217</v>
      </c>
      <c r="F277" s="1">
        <v>317486.59281437128</v>
      </c>
      <c r="G277" s="1">
        <v>217</v>
      </c>
      <c r="H277" s="1">
        <v>317486.59281437128</v>
      </c>
      <c r="I277" s="1">
        <v>167</v>
      </c>
      <c r="J277" s="1">
        <v>244333</v>
      </c>
    </row>
    <row r="278" spans="1:10" x14ac:dyDescent="0.45">
      <c r="A278" t="s">
        <v>556</v>
      </c>
      <c r="B278" t="s">
        <v>557</v>
      </c>
      <c r="C278" s="1">
        <v>217</v>
      </c>
      <c r="D278" s="1">
        <v>388088.25748502993</v>
      </c>
      <c r="E278" s="1">
        <v>217</v>
      </c>
      <c r="F278" s="1">
        <v>388088.25748502993</v>
      </c>
      <c r="G278" s="1">
        <v>217</v>
      </c>
      <c r="H278" s="1">
        <v>388088.25748502993</v>
      </c>
      <c r="I278" s="1">
        <v>167</v>
      </c>
      <c r="J278" s="1">
        <v>298667</v>
      </c>
    </row>
    <row r="279" spans="1:10" x14ac:dyDescent="0.45">
      <c r="A279" t="s">
        <v>558</v>
      </c>
      <c r="B279" t="s">
        <v>559</v>
      </c>
      <c r="C279" s="1">
        <v>433</v>
      </c>
      <c r="D279" s="1">
        <v>205880.44744744743</v>
      </c>
      <c r="E279" s="1">
        <v>433</v>
      </c>
      <c r="F279" s="1">
        <v>205880.44744744743</v>
      </c>
      <c r="G279" s="1">
        <v>433</v>
      </c>
      <c r="H279" s="1">
        <v>205880.44744744743</v>
      </c>
      <c r="I279" s="1">
        <v>333</v>
      </c>
      <c r="J279" s="1">
        <v>158333</v>
      </c>
    </row>
    <row r="280" spans="1:10" x14ac:dyDescent="0.45">
      <c r="A280" t="s">
        <v>560</v>
      </c>
      <c r="B280" t="s">
        <v>561</v>
      </c>
      <c r="C280" s="1">
        <v>217</v>
      </c>
      <c r="D280" s="1">
        <v>58905.754491017957</v>
      </c>
      <c r="E280" s="1">
        <v>217</v>
      </c>
      <c r="F280" s="1">
        <v>58905.754491017957</v>
      </c>
      <c r="G280" s="1">
        <v>217</v>
      </c>
      <c r="H280" s="1">
        <v>58905.754491017957</v>
      </c>
      <c r="I280" s="1">
        <v>167</v>
      </c>
      <c r="J280" s="1">
        <v>45333</v>
      </c>
    </row>
    <row r="281" spans="1:10" x14ac:dyDescent="0.45">
      <c r="A281" t="s">
        <v>562</v>
      </c>
      <c r="B281" t="s">
        <v>563</v>
      </c>
      <c r="C281" s="1">
        <v>230</v>
      </c>
      <c r="D281" s="1">
        <v>65426.553672316382</v>
      </c>
      <c r="E281" s="1">
        <v>230</v>
      </c>
      <c r="F281" s="1">
        <v>65426.553672316382</v>
      </c>
      <c r="G281" s="1">
        <v>230</v>
      </c>
      <c r="H281" s="1">
        <v>65426.553672316382</v>
      </c>
      <c r="I281" s="1">
        <v>177</v>
      </c>
      <c r="J281" s="1">
        <v>50350</v>
      </c>
    </row>
    <row r="282" spans="1:10" x14ac:dyDescent="0.45">
      <c r="A282" t="s">
        <v>564</v>
      </c>
      <c r="B282" t="s">
        <v>565</v>
      </c>
      <c r="C282" s="1">
        <v>13674</v>
      </c>
      <c r="D282" s="1">
        <v>4786127.5099828867</v>
      </c>
      <c r="E282" s="1">
        <v>13674</v>
      </c>
      <c r="F282" s="1">
        <v>4786127.5099828867</v>
      </c>
      <c r="G282" s="1">
        <v>13674</v>
      </c>
      <c r="H282" s="1">
        <v>4786127.5099828867</v>
      </c>
      <c r="I282" s="1">
        <v>10518</v>
      </c>
      <c r="J282" s="1">
        <v>3681475</v>
      </c>
    </row>
    <row r="283" spans="1:10" x14ac:dyDescent="0.45">
      <c r="A283" t="s">
        <v>566</v>
      </c>
      <c r="B283" t="s">
        <v>567</v>
      </c>
      <c r="C283" s="1">
        <v>217</v>
      </c>
      <c r="D283" s="1">
        <v>133621.32335329341</v>
      </c>
      <c r="E283" s="1">
        <v>217</v>
      </c>
      <c r="F283" s="1">
        <v>133621.32335329341</v>
      </c>
      <c r="G283" s="1">
        <v>217</v>
      </c>
      <c r="H283" s="1">
        <v>133621.32335329341</v>
      </c>
      <c r="I283" s="1">
        <v>167</v>
      </c>
      <c r="J283" s="1">
        <v>102833</v>
      </c>
    </row>
    <row r="284" spans="1:10" x14ac:dyDescent="0.45">
      <c r="A284" t="s">
        <v>568</v>
      </c>
      <c r="B284" t="s">
        <v>569</v>
      </c>
      <c r="C284" s="1">
        <v>433</v>
      </c>
      <c r="D284" s="1">
        <v>174673.24024024024</v>
      </c>
      <c r="E284" s="1">
        <v>433</v>
      </c>
      <c r="F284" s="1">
        <v>174673.24024024024</v>
      </c>
      <c r="G284" s="1">
        <v>433</v>
      </c>
      <c r="H284" s="1">
        <v>174673.24024024024</v>
      </c>
      <c r="I284" s="1">
        <v>333</v>
      </c>
      <c r="J284" s="1">
        <v>134333</v>
      </c>
    </row>
    <row r="285" spans="1:10" x14ac:dyDescent="0.45">
      <c r="A285" t="s">
        <v>570</v>
      </c>
      <c r="B285" t="s">
        <v>571</v>
      </c>
      <c r="C285" s="1">
        <v>457</v>
      </c>
      <c r="D285" s="1">
        <v>207737.65909090909</v>
      </c>
      <c r="E285" s="1">
        <v>457</v>
      </c>
      <c r="F285" s="1">
        <v>207737.65909090909</v>
      </c>
      <c r="G285" s="1">
        <v>457</v>
      </c>
      <c r="H285" s="1">
        <v>207737.65909090909</v>
      </c>
      <c r="I285" s="1">
        <v>352</v>
      </c>
      <c r="J285" s="1">
        <v>160008</v>
      </c>
    </row>
    <row r="286" spans="1:10" x14ac:dyDescent="0.45">
      <c r="A286" t="s">
        <v>572</v>
      </c>
      <c r="B286" t="s">
        <v>573</v>
      </c>
      <c r="C286" s="1">
        <v>520</v>
      </c>
      <c r="D286" s="1">
        <v>270400</v>
      </c>
      <c r="E286" s="1">
        <v>520</v>
      </c>
      <c r="F286" s="1">
        <v>270400</v>
      </c>
      <c r="G286" s="1">
        <v>520</v>
      </c>
      <c r="H286" s="1">
        <v>270400</v>
      </c>
      <c r="I286" s="1">
        <v>400</v>
      </c>
      <c r="J286" s="1">
        <v>208000</v>
      </c>
    </row>
    <row r="287" spans="1:10" x14ac:dyDescent="0.45">
      <c r="A287" t="s">
        <v>574</v>
      </c>
      <c r="B287" t="s">
        <v>575</v>
      </c>
      <c r="C287" s="1">
        <v>689</v>
      </c>
      <c r="D287" s="1">
        <v>343595.19999999995</v>
      </c>
      <c r="E287" s="1">
        <v>689</v>
      </c>
      <c r="F287" s="1">
        <v>343595.19999999995</v>
      </c>
      <c r="G287" s="1">
        <v>689</v>
      </c>
      <c r="H287" s="1">
        <v>343595.19999999995</v>
      </c>
      <c r="I287" s="1">
        <v>530</v>
      </c>
      <c r="J287" s="1">
        <v>264304</v>
      </c>
    </row>
    <row r="288" spans="1:10" x14ac:dyDescent="0.45">
      <c r="A288" t="s">
        <v>576</v>
      </c>
      <c r="B288" t="s">
        <v>577</v>
      </c>
      <c r="C288" s="1">
        <v>5117</v>
      </c>
      <c r="D288" s="1">
        <v>2563295.9690119382</v>
      </c>
      <c r="E288" s="1">
        <v>5117</v>
      </c>
      <c r="F288" s="1">
        <v>2563295.9690119382</v>
      </c>
      <c r="G288" s="1">
        <v>5117</v>
      </c>
      <c r="H288" s="1">
        <v>2563295.9690119382</v>
      </c>
      <c r="I288" s="1">
        <v>3937</v>
      </c>
      <c r="J288" s="1">
        <v>1972190</v>
      </c>
    </row>
    <row r="289" spans="1:10" x14ac:dyDescent="0.45">
      <c r="A289" t="s">
        <v>578</v>
      </c>
      <c r="B289" t="s">
        <v>579</v>
      </c>
      <c r="C289" s="1">
        <v>1171</v>
      </c>
      <c r="D289" s="1">
        <v>647323.86126526084</v>
      </c>
      <c r="E289" s="1">
        <v>1171</v>
      </c>
      <c r="F289" s="1">
        <v>647323.86126526084</v>
      </c>
      <c r="G289" s="1">
        <v>1171</v>
      </c>
      <c r="H289" s="1">
        <v>647323.86126526084</v>
      </c>
      <c r="I289" s="1">
        <v>901</v>
      </c>
      <c r="J289" s="1">
        <v>498069</v>
      </c>
    </row>
    <row r="290" spans="1:10" x14ac:dyDescent="0.45">
      <c r="A290" t="s">
        <v>580</v>
      </c>
      <c r="B290" t="s">
        <v>581</v>
      </c>
      <c r="C290" s="1">
        <v>6837</v>
      </c>
      <c r="D290" s="1">
        <v>4033446.5560836503</v>
      </c>
      <c r="E290" s="1">
        <v>6837</v>
      </c>
      <c r="F290" s="1">
        <v>4033446.5560836503</v>
      </c>
      <c r="G290" s="1">
        <v>6837</v>
      </c>
      <c r="H290" s="1">
        <v>4033446.5560836503</v>
      </c>
      <c r="I290" s="1">
        <v>5260</v>
      </c>
      <c r="J290" s="1">
        <v>3103105</v>
      </c>
    </row>
    <row r="291" spans="1:10" x14ac:dyDescent="0.45">
      <c r="A291" t="s">
        <v>582</v>
      </c>
      <c r="B291" t="s">
        <v>583</v>
      </c>
      <c r="C291" s="1">
        <v>3379</v>
      </c>
      <c r="D291" s="1">
        <v>1436266.1169680646</v>
      </c>
      <c r="E291" s="1">
        <v>3379</v>
      </c>
      <c r="F291" s="1">
        <v>1436266.1169680646</v>
      </c>
      <c r="G291" s="1">
        <v>3379</v>
      </c>
      <c r="H291" s="1">
        <v>1436266.1169680646</v>
      </c>
      <c r="I291" s="1">
        <v>2599</v>
      </c>
      <c r="J291" s="1">
        <v>1104722</v>
      </c>
    </row>
    <row r="292" spans="1:10" x14ac:dyDescent="0.45">
      <c r="A292" t="s">
        <v>584</v>
      </c>
      <c r="B292" t="s">
        <v>585</v>
      </c>
      <c r="C292" s="1">
        <v>520</v>
      </c>
      <c r="D292" s="1">
        <v>307840</v>
      </c>
      <c r="E292" s="1">
        <v>520</v>
      </c>
      <c r="F292" s="1">
        <v>307840</v>
      </c>
      <c r="G292" s="1">
        <v>520</v>
      </c>
      <c r="H292" s="1">
        <v>307840</v>
      </c>
      <c r="I292" s="1">
        <v>400</v>
      </c>
      <c r="J292" s="1">
        <v>236800</v>
      </c>
    </row>
    <row r="293" spans="1:10" x14ac:dyDescent="0.45">
      <c r="A293" t="s">
        <v>586</v>
      </c>
      <c r="B293" t="s">
        <v>587</v>
      </c>
      <c r="C293" s="1">
        <v>9750</v>
      </c>
      <c r="D293" s="1">
        <v>3363100</v>
      </c>
      <c r="E293" s="1">
        <v>9750</v>
      </c>
      <c r="F293" s="1">
        <v>3363100</v>
      </c>
      <c r="G293" s="1">
        <v>9750</v>
      </c>
      <c r="H293" s="1">
        <v>3363100</v>
      </c>
      <c r="I293" s="1">
        <v>7500</v>
      </c>
      <c r="J293" s="1">
        <v>2587000</v>
      </c>
    </row>
    <row r="294" spans="1:10" x14ac:dyDescent="0.45">
      <c r="A294" t="s">
        <v>588</v>
      </c>
      <c r="B294" t="s">
        <v>589</v>
      </c>
      <c r="C294" s="1">
        <v>607</v>
      </c>
      <c r="D294" s="1">
        <v>299643.53533190576</v>
      </c>
      <c r="E294" s="1">
        <v>607</v>
      </c>
      <c r="F294" s="1">
        <v>299643.53533190576</v>
      </c>
      <c r="G294" s="1">
        <v>607</v>
      </c>
      <c r="H294" s="1">
        <v>299643.53533190576</v>
      </c>
      <c r="I294" s="1">
        <v>467</v>
      </c>
      <c r="J294" s="1">
        <v>230533</v>
      </c>
    </row>
    <row r="295" spans="1:10" x14ac:dyDescent="0.45">
      <c r="A295" t="s">
        <v>590</v>
      </c>
      <c r="B295" t="s">
        <v>591</v>
      </c>
      <c r="C295" s="1">
        <v>7066</v>
      </c>
      <c r="D295" s="1">
        <v>4077611.1374425017</v>
      </c>
      <c r="E295" s="1">
        <v>7066</v>
      </c>
      <c r="F295" s="1">
        <v>4077611.1374425017</v>
      </c>
      <c r="G295" s="1">
        <v>7066</v>
      </c>
      <c r="H295" s="1">
        <v>4077611.1374425017</v>
      </c>
      <c r="I295" s="1">
        <v>5435</v>
      </c>
      <c r="J295" s="1">
        <v>3136402</v>
      </c>
    </row>
    <row r="296" spans="1:10" x14ac:dyDescent="0.45">
      <c r="A296" t="s">
        <v>592</v>
      </c>
      <c r="B296" t="s">
        <v>593</v>
      </c>
      <c r="C296" s="1">
        <v>10730</v>
      </c>
      <c r="D296" s="1">
        <v>6030236.6181080211</v>
      </c>
      <c r="E296" s="1">
        <v>10730</v>
      </c>
      <c r="F296" s="1">
        <v>6030236.6181080211</v>
      </c>
      <c r="G296" s="1">
        <v>10730</v>
      </c>
      <c r="H296" s="1">
        <v>6030236.6181080211</v>
      </c>
      <c r="I296" s="1">
        <v>8254</v>
      </c>
      <c r="J296" s="1">
        <v>4638730</v>
      </c>
    </row>
    <row r="297" spans="1:10" x14ac:dyDescent="0.45">
      <c r="A297" t="s">
        <v>594</v>
      </c>
      <c r="B297" t="s">
        <v>595</v>
      </c>
      <c r="C297" s="1">
        <v>1043</v>
      </c>
      <c r="D297" s="1">
        <v>451369.6151930262</v>
      </c>
      <c r="E297" s="1">
        <v>1043</v>
      </c>
      <c r="F297" s="1">
        <v>451369.6151930262</v>
      </c>
      <c r="G297" s="1">
        <v>1043</v>
      </c>
      <c r="H297" s="1">
        <v>451369.6151930262</v>
      </c>
      <c r="I297" s="1">
        <v>803</v>
      </c>
      <c r="J297" s="1">
        <v>347507</v>
      </c>
    </row>
    <row r="298" spans="1:10" x14ac:dyDescent="0.45">
      <c r="A298" t="s">
        <v>596</v>
      </c>
      <c r="B298" t="s">
        <v>597</v>
      </c>
      <c r="C298" s="1">
        <v>2383</v>
      </c>
      <c r="D298" s="1">
        <v>880569.85215493722</v>
      </c>
      <c r="E298" s="1">
        <v>2383</v>
      </c>
      <c r="F298" s="1">
        <v>880569.85215493722</v>
      </c>
      <c r="G298" s="1">
        <v>2383</v>
      </c>
      <c r="H298" s="1">
        <v>880569.85215493722</v>
      </c>
      <c r="I298" s="1">
        <v>1833</v>
      </c>
      <c r="J298" s="1">
        <v>677333</v>
      </c>
    </row>
    <row r="299" spans="1:10" x14ac:dyDescent="0.45">
      <c r="A299" t="s">
        <v>598</v>
      </c>
      <c r="B299" t="s">
        <v>599</v>
      </c>
      <c r="C299" s="1">
        <v>45640</v>
      </c>
      <c r="D299" s="1">
        <v>23213405.152102087</v>
      </c>
      <c r="E299" s="1">
        <v>45640</v>
      </c>
      <c r="F299" s="1">
        <v>23213405.152102087</v>
      </c>
      <c r="G299" s="1">
        <v>45640</v>
      </c>
      <c r="H299" s="1">
        <v>23213405.152102087</v>
      </c>
      <c r="I299" s="1">
        <v>35108</v>
      </c>
      <c r="J299" s="1">
        <v>17856622</v>
      </c>
    </row>
    <row r="300" spans="1:10" x14ac:dyDescent="0.45">
      <c r="A300" t="s">
        <v>600</v>
      </c>
      <c r="B300" t="s">
        <v>601</v>
      </c>
      <c r="C300" s="1">
        <v>347</v>
      </c>
      <c r="D300" s="1">
        <v>139666.8501872659</v>
      </c>
      <c r="E300" s="1">
        <v>347</v>
      </c>
      <c r="F300" s="1">
        <v>139666.8501872659</v>
      </c>
      <c r="G300" s="1">
        <v>347</v>
      </c>
      <c r="H300" s="1">
        <v>139666.8501872659</v>
      </c>
      <c r="I300" s="1">
        <v>267</v>
      </c>
      <c r="J300" s="1">
        <v>107467</v>
      </c>
    </row>
    <row r="301" spans="1:10" x14ac:dyDescent="0.45">
      <c r="A301" t="s">
        <v>602</v>
      </c>
      <c r="B301" t="s">
        <v>603</v>
      </c>
      <c r="C301" s="1">
        <v>707</v>
      </c>
      <c r="D301" s="1">
        <v>305943.8529411765</v>
      </c>
      <c r="E301" s="1">
        <v>707</v>
      </c>
      <c r="F301" s="1">
        <v>305943.8529411765</v>
      </c>
      <c r="G301" s="1">
        <v>707</v>
      </c>
      <c r="H301" s="1">
        <v>305943.8529411765</v>
      </c>
      <c r="I301" s="1">
        <v>544</v>
      </c>
      <c r="J301" s="1">
        <v>235408</v>
      </c>
    </row>
    <row r="302" spans="1:10" x14ac:dyDescent="0.45">
      <c r="A302" t="s">
        <v>604</v>
      </c>
      <c r="B302" t="s">
        <v>605</v>
      </c>
      <c r="C302" s="1">
        <v>520</v>
      </c>
      <c r="D302" s="1">
        <v>338520</v>
      </c>
      <c r="E302" s="1">
        <v>520</v>
      </c>
      <c r="F302" s="1">
        <v>338520</v>
      </c>
      <c r="G302" s="1">
        <v>520</v>
      </c>
      <c r="H302" s="1">
        <v>338520</v>
      </c>
      <c r="I302" s="1">
        <v>400</v>
      </c>
      <c r="J302" s="1">
        <v>260400</v>
      </c>
    </row>
    <row r="303" spans="1:10" x14ac:dyDescent="0.45">
      <c r="A303" t="s">
        <v>606</v>
      </c>
      <c r="B303" t="s">
        <v>607</v>
      </c>
      <c r="C303" s="1">
        <v>1311</v>
      </c>
      <c r="D303" s="1">
        <v>1019685.1456888008</v>
      </c>
      <c r="E303" s="1">
        <v>1311</v>
      </c>
      <c r="F303" s="1">
        <v>1019685.1456888008</v>
      </c>
      <c r="G303" s="1">
        <v>1311</v>
      </c>
      <c r="H303" s="1">
        <v>1019685.1456888008</v>
      </c>
      <c r="I303" s="1">
        <v>1009</v>
      </c>
      <c r="J303" s="1">
        <v>784792</v>
      </c>
    </row>
    <row r="304" spans="1:10" x14ac:dyDescent="0.45">
      <c r="A304" t="s">
        <v>608</v>
      </c>
      <c r="B304" t="s">
        <v>609</v>
      </c>
      <c r="C304" s="1">
        <v>6635</v>
      </c>
      <c r="D304" s="1">
        <v>5728130.4359326018</v>
      </c>
      <c r="E304" s="1">
        <v>6635</v>
      </c>
      <c r="F304" s="1">
        <v>5728130.4359326018</v>
      </c>
      <c r="G304" s="1">
        <v>6635</v>
      </c>
      <c r="H304" s="1">
        <v>5728130.4359326018</v>
      </c>
      <c r="I304" s="1">
        <v>5104</v>
      </c>
      <c r="J304" s="1">
        <v>4406387</v>
      </c>
    </row>
    <row r="305" spans="1:10" x14ac:dyDescent="0.45">
      <c r="A305" t="s">
        <v>610</v>
      </c>
      <c r="B305" t="s">
        <v>611</v>
      </c>
      <c r="C305" s="1">
        <v>336</v>
      </c>
      <c r="D305" s="1">
        <v>234041.51351351352</v>
      </c>
      <c r="E305" s="1">
        <v>336</v>
      </c>
      <c r="F305" s="1">
        <v>234041.51351351352</v>
      </c>
      <c r="G305" s="1">
        <v>336</v>
      </c>
      <c r="H305" s="1">
        <v>234041.51351351352</v>
      </c>
      <c r="I305" s="1">
        <v>259</v>
      </c>
      <c r="J305" s="1">
        <v>180407</v>
      </c>
    </row>
    <row r="306" spans="1:10" x14ac:dyDescent="0.45">
      <c r="A306" t="s">
        <v>612</v>
      </c>
      <c r="B306" t="s">
        <v>613</v>
      </c>
      <c r="C306" s="1">
        <v>585</v>
      </c>
      <c r="D306" s="1">
        <v>340722.2</v>
      </c>
      <c r="E306" s="1">
        <v>585</v>
      </c>
      <c r="F306" s="1">
        <v>340722.2</v>
      </c>
      <c r="G306" s="1">
        <v>585</v>
      </c>
      <c r="H306" s="1">
        <v>340722.2</v>
      </c>
      <c r="I306" s="1">
        <v>450</v>
      </c>
      <c r="J306" s="1">
        <v>262094</v>
      </c>
    </row>
    <row r="307" spans="1:10" x14ac:dyDescent="0.45">
      <c r="A307" t="s">
        <v>614</v>
      </c>
      <c r="B307" t="s">
        <v>615</v>
      </c>
      <c r="C307" s="1">
        <v>910</v>
      </c>
      <c r="D307" s="1">
        <v>550550</v>
      </c>
      <c r="E307" s="1">
        <v>910</v>
      </c>
      <c r="F307" s="1">
        <v>550550</v>
      </c>
      <c r="G307" s="1">
        <v>910</v>
      </c>
      <c r="H307" s="1">
        <v>550550</v>
      </c>
      <c r="I307" s="1">
        <v>700</v>
      </c>
      <c r="J307" s="1">
        <v>423500</v>
      </c>
    </row>
    <row r="308" spans="1:10" x14ac:dyDescent="0.45">
      <c r="A308" t="s">
        <v>616</v>
      </c>
      <c r="B308" t="s">
        <v>617</v>
      </c>
      <c r="C308" s="1">
        <v>1300</v>
      </c>
      <c r="D308" s="1">
        <v>1063400</v>
      </c>
      <c r="E308" s="1">
        <v>1300</v>
      </c>
      <c r="F308" s="1">
        <v>1063400</v>
      </c>
      <c r="G308" s="1">
        <v>1300</v>
      </c>
      <c r="H308" s="1">
        <v>1063400</v>
      </c>
      <c r="I308" s="1">
        <v>1000</v>
      </c>
      <c r="J308" s="1">
        <v>818000</v>
      </c>
    </row>
    <row r="309" spans="1:10" x14ac:dyDescent="0.45">
      <c r="A309" t="s">
        <v>618</v>
      </c>
      <c r="B309" t="s">
        <v>619</v>
      </c>
      <c r="C309" s="1">
        <v>4960</v>
      </c>
      <c r="D309" s="1">
        <v>3155494.7942332895</v>
      </c>
      <c r="E309" s="1">
        <v>4960</v>
      </c>
      <c r="F309" s="1">
        <v>3155494.7942332895</v>
      </c>
      <c r="G309" s="1">
        <v>4960</v>
      </c>
      <c r="H309" s="1">
        <v>3155494.7942332895</v>
      </c>
      <c r="I309" s="1">
        <v>3815</v>
      </c>
      <c r="J309" s="1">
        <v>2427059</v>
      </c>
    </row>
    <row r="310" spans="1:10" x14ac:dyDescent="0.45">
      <c r="A310" t="s">
        <v>620</v>
      </c>
      <c r="B310" t="s">
        <v>621</v>
      </c>
      <c r="C310" s="1">
        <v>2297</v>
      </c>
      <c r="D310" s="1">
        <v>1731611.7142048669</v>
      </c>
      <c r="E310" s="1">
        <v>2297</v>
      </c>
      <c r="F310" s="1">
        <v>1731611.7142048669</v>
      </c>
      <c r="G310" s="1">
        <v>2297</v>
      </c>
      <c r="H310" s="1">
        <v>1731611.7142048669</v>
      </c>
      <c r="I310" s="1">
        <v>1767</v>
      </c>
      <c r="J310" s="1">
        <v>1332067</v>
      </c>
    </row>
    <row r="311" spans="1:10" x14ac:dyDescent="0.45">
      <c r="A311" t="s">
        <v>622</v>
      </c>
      <c r="B311" t="s">
        <v>623</v>
      </c>
      <c r="C311" s="1">
        <v>217</v>
      </c>
      <c r="D311" s="1">
        <v>211585.39520958083</v>
      </c>
      <c r="E311" s="1">
        <v>217</v>
      </c>
      <c r="F311" s="1">
        <v>211585.39520958083</v>
      </c>
      <c r="G311" s="1">
        <v>217</v>
      </c>
      <c r="H311" s="1">
        <v>211585.39520958083</v>
      </c>
      <c r="I311" s="1">
        <v>167</v>
      </c>
      <c r="J311" s="1">
        <v>162833</v>
      </c>
    </row>
    <row r="312" spans="1:10" x14ac:dyDescent="0.45">
      <c r="A312" t="s">
        <v>624</v>
      </c>
      <c r="B312" t="s">
        <v>625</v>
      </c>
      <c r="C312" s="1">
        <v>480</v>
      </c>
      <c r="D312" s="1">
        <v>252512.52032520325</v>
      </c>
      <c r="E312" s="1">
        <v>480</v>
      </c>
      <c r="F312" s="1">
        <v>252512.52032520325</v>
      </c>
      <c r="G312" s="1">
        <v>480</v>
      </c>
      <c r="H312" s="1">
        <v>252512.52032520325</v>
      </c>
      <c r="I312" s="1">
        <v>369</v>
      </c>
      <c r="J312" s="1">
        <v>194119</v>
      </c>
    </row>
    <row r="313" spans="1:10" x14ac:dyDescent="0.45">
      <c r="A313" t="s">
        <v>626</v>
      </c>
      <c r="B313" t="s">
        <v>627</v>
      </c>
      <c r="C313" s="1">
        <v>6067</v>
      </c>
      <c r="D313" s="1">
        <v>3409410.9040068565</v>
      </c>
      <c r="E313" s="1">
        <v>6067</v>
      </c>
      <c r="F313" s="1">
        <v>3409410.9040068565</v>
      </c>
      <c r="G313" s="1">
        <v>6067</v>
      </c>
      <c r="H313" s="1">
        <v>3409410.9040068565</v>
      </c>
      <c r="I313" s="1">
        <v>4667</v>
      </c>
      <c r="J313" s="1">
        <v>2622667</v>
      </c>
    </row>
    <row r="314" spans="1:10" x14ac:dyDescent="0.45">
      <c r="A314" t="s">
        <v>628</v>
      </c>
      <c r="B314" t="s">
        <v>629</v>
      </c>
      <c r="C314" s="1">
        <v>217</v>
      </c>
      <c r="D314" s="1">
        <v>190579.27544910181</v>
      </c>
      <c r="E314" s="1">
        <v>217</v>
      </c>
      <c r="F314" s="1">
        <v>190579.27544910181</v>
      </c>
      <c r="G314" s="1">
        <v>217</v>
      </c>
      <c r="H314" s="1">
        <v>190579.27544910181</v>
      </c>
      <c r="I314" s="1">
        <v>167</v>
      </c>
      <c r="J314" s="1">
        <v>146667</v>
      </c>
    </row>
    <row r="315" spans="1:10" x14ac:dyDescent="0.45">
      <c r="A315" t="s">
        <v>630</v>
      </c>
      <c r="B315" t="s">
        <v>631</v>
      </c>
      <c r="C315" s="1">
        <v>1133</v>
      </c>
      <c r="D315" s="1">
        <v>917142.03673937998</v>
      </c>
      <c r="E315" s="1">
        <v>1133</v>
      </c>
      <c r="F315" s="1">
        <v>917142.03673937998</v>
      </c>
      <c r="G315" s="1">
        <v>1133</v>
      </c>
      <c r="H315" s="1">
        <v>917142.03673937998</v>
      </c>
      <c r="I315" s="1">
        <v>871</v>
      </c>
      <c r="J315" s="1">
        <v>705058</v>
      </c>
    </row>
    <row r="316" spans="1:10" x14ac:dyDescent="0.45">
      <c r="A316" t="s">
        <v>632</v>
      </c>
      <c r="B316" t="s">
        <v>633</v>
      </c>
      <c r="C316" s="1">
        <v>607</v>
      </c>
      <c r="D316" s="1">
        <v>405186.14775160595</v>
      </c>
      <c r="E316" s="1">
        <v>607</v>
      </c>
      <c r="F316" s="1">
        <v>405186.14775160595</v>
      </c>
      <c r="G316" s="1">
        <v>607</v>
      </c>
      <c r="H316" s="1">
        <v>405186.14775160595</v>
      </c>
      <c r="I316" s="1">
        <v>467</v>
      </c>
      <c r="J316" s="1">
        <v>311733</v>
      </c>
    </row>
    <row r="317" spans="1:10" x14ac:dyDescent="0.45">
      <c r="A317" t="s">
        <v>634</v>
      </c>
      <c r="B317" t="s">
        <v>635</v>
      </c>
      <c r="C317" s="1">
        <v>1192</v>
      </c>
      <c r="D317" s="1">
        <v>1186800.4362050164</v>
      </c>
      <c r="E317" s="1">
        <v>1192</v>
      </c>
      <c r="F317" s="1">
        <v>1186800.4362050164</v>
      </c>
      <c r="G317" s="1">
        <v>1192</v>
      </c>
      <c r="H317" s="1">
        <v>1186800.4362050164</v>
      </c>
      <c r="I317" s="1">
        <v>917</v>
      </c>
      <c r="J317" s="1">
        <v>913000</v>
      </c>
    </row>
    <row r="318" spans="1:10" x14ac:dyDescent="0.45">
      <c r="A318" t="s">
        <v>636</v>
      </c>
      <c r="B318" t="s">
        <v>637</v>
      </c>
      <c r="C318" s="1">
        <v>701</v>
      </c>
      <c r="D318" s="1">
        <v>656338.88682745828</v>
      </c>
      <c r="E318" s="1">
        <v>701</v>
      </c>
      <c r="F318" s="1">
        <v>656338.88682745828</v>
      </c>
      <c r="G318" s="1">
        <v>701</v>
      </c>
      <c r="H318" s="1">
        <v>656338.88682745828</v>
      </c>
      <c r="I318" s="1">
        <v>539</v>
      </c>
      <c r="J318" s="1">
        <v>504660</v>
      </c>
    </row>
    <row r="319" spans="1:10" x14ac:dyDescent="0.45">
      <c r="A319" t="s">
        <v>638</v>
      </c>
      <c r="B319" t="s">
        <v>639</v>
      </c>
      <c r="C319" s="1">
        <v>2399</v>
      </c>
      <c r="D319" s="1">
        <v>2766404.5745257451</v>
      </c>
      <c r="E319" s="1">
        <v>2399</v>
      </c>
      <c r="F319" s="1">
        <v>2766404.5745257451</v>
      </c>
      <c r="G319" s="1">
        <v>2399</v>
      </c>
      <c r="H319" s="1">
        <v>2766404.5745257451</v>
      </c>
      <c r="I319" s="1">
        <v>1845</v>
      </c>
      <c r="J319" s="1">
        <v>2127560</v>
      </c>
    </row>
    <row r="320" spans="1:10" x14ac:dyDescent="0.45">
      <c r="A320" t="s">
        <v>640</v>
      </c>
      <c r="B320" t="s">
        <v>641</v>
      </c>
      <c r="C320" s="1">
        <v>1148</v>
      </c>
      <c r="D320" s="1">
        <v>1283948.9422423556</v>
      </c>
      <c r="E320" s="1">
        <v>1148</v>
      </c>
      <c r="F320" s="1">
        <v>1283948.9422423556</v>
      </c>
      <c r="G320" s="1">
        <v>1148</v>
      </c>
      <c r="H320" s="1">
        <v>1283948.9422423556</v>
      </c>
      <c r="I320" s="1">
        <v>883</v>
      </c>
      <c r="J320" s="1">
        <v>987567</v>
      </c>
    </row>
    <row r="321" spans="1:10" x14ac:dyDescent="0.45">
      <c r="A321" t="s">
        <v>642</v>
      </c>
      <c r="B321" t="s">
        <v>643</v>
      </c>
      <c r="C321" s="1">
        <v>466</v>
      </c>
      <c r="D321" s="1">
        <v>426321.01117318432</v>
      </c>
      <c r="E321" s="1">
        <v>466</v>
      </c>
      <c r="F321" s="1">
        <v>426321.01117318432</v>
      </c>
      <c r="G321" s="1">
        <v>466</v>
      </c>
      <c r="H321" s="1">
        <v>426321.01117318432</v>
      </c>
      <c r="I321" s="1">
        <v>358</v>
      </c>
      <c r="J321" s="1">
        <v>327517</v>
      </c>
    </row>
    <row r="322" spans="1:10" x14ac:dyDescent="0.45">
      <c r="A322" t="s">
        <v>644</v>
      </c>
      <c r="B322" t="s">
        <v>645</v>
      </c>
      <c r="C322" s="1">
        <v>672</v>
      </c>
      <c r="D322" s="1">
        <v>340484.33268858801</v>
      </c>
      <c r="E322" s="1">
        <v>672</v>
      </c>
      <c r="F322" s="1">
        <v>340484.33268858801</v>
      </c>
      <c r="G322" s="1">
        <v>672</v>
      </c>
      <c r="H322" s="1">
        <v>340484.33268858801</v>
      </c>
      <c r="I322" s="1">
        <v>517</v>
      </c>
      <c r="J322" s="1">
        <v>261950</v>
      </c>
    </row>
    <row r="323" spans="1:10" x14ac:dyDescent="0.45">
      <c r="A323" t="s">
        <v>646</v>
      </c>
      <c r="B323" t="s">
        <v>647</v>
      </c>
      <c r="C323" s="1">
        <v>1215</v>
      </c>
      <c r="D323" s="1">
        <v>1020512.9358288769</v>
      </c>
      <c r="E323" s="1">
        <v>1215</v>
      </c>
      <c r="F323" s="1">
        <v>1020512.9358288769</v>
      </c>
      <c r="G323" s="1">
        <v>1215</v>
      </c>
      <c r="H323" s="1">
        <v>1020512.9358288769</v>
      </c>
      <c r="I323" s="1">
        <v>935</v>
      </c>
      <c r="J323" s="1">
        <v>785333</v>
      </c>
    </row>
    <row r="324" spans="1:10" x14ac:dyDescent="0.45">
      <c r="A324" t="s">
        <v>648</v>
      </c>
      <c r="B324" t="s">
        <v>649</v>
      </c>
      <c r="C324" s="1">
        <v>2662</v>
      </c>
      <c r="D324" s="1">
        <v>1144380.5419921875</v>
      </c>
      <c r="E324" s="1">
        <v>2662</v>
      </c>
      <c r="F324" s="1">
        <v>1144380.5419921875</v>
      </c>
      <c r="G324" s="1">
        <v>2662</v>
      </c>
      <c r="H324" s="1">
        <v>1144380.5419921875</v>
      </c>
      <c r="I324" s="1">
        <v>2048</v>
      </c>
      <c r="J324" s="1">
        <v>880425</v>
      </c>
    </row>
    <row r="325" spans="1:10" x14ac:dyDescent="0.45">
      <c r="A325" t="s">
        <v>650</v>
      </c>
      <c r="B325" t="s">
        <v>651</v>
      </c>
      <c r="C325" s="1">
        <v>232</v>
      </c>
      <c r="D325" s="1">
        <v>99574.659217877095</v>
      </c>
      <c r="E325" s="1">
        <v>232</v>
      </c>
      <c r="F325" s="1">
        <v>99574.659217877095</v>
      </c>
      <c r="G325" s="1">
        <v>232</v>
      </c>
      <c r="H325" s="1">
        <v>99574.659217877095</v>
      </c>
      <c r="I325" s="1">
        <v>179</v>
      </c>
      <c r="J325" s="1">
        <v>76827</v>
      </c>
    </row>
    <row r="326" spans="1:10" x14ac:dyDescent="0.45">
      <c r="A326" t="s">
        <v>652</v>
      </c>
      <c r="B326" t="s">
        <v>653</v>
      </c>
      <c r="C326" s="1">
        <v>3142</v>
      </c>
      <c r="D326" s="1">
        <v>1919496.8084402152</v>
      </c>
      <c r="E326" s="1">
        <v>3142</v>
      </c>
      <c r="F326" s="1">
        <v>1919496.8084402152</v>
      </c>
      <c r="G326" s="1">
        <v>3142</v>
      </c>
      <c r="H326" s="1">
        <v>1919496.8084402152</v>
      </c>
      <c r="I326" s="1">
        <v>2417</v>
      </c>
      <c r="J326" s="1">
        <v>1476583</v>
      </c>
    </row>
    <row r="327" spans="1:10" x14ac:dyDescent="0.45">
      <c r="A327" t="s">
        <v>654</v>
      </c>
      <c r="B327" t="s">
        <v>655</v>
      </c>
      <c r="C327" s="1">
        <v>219</v>
      </c>
      <c r="D327" s="1">
        <v>140218.66071428571</v>
      </c>
      <c r="E327" s="1">
        <v>219</v>
      </c>
      <c r="F327" s="1">
        <v>140218.66071428571</v>
      </c>
      <c r="G327" s="1">
        <v>219</v>
      </c>
      <c r="H327" s="1">
        <v>140218.66071428571</v>
      </c>
      <c r="I327" s="1">
        <v>168</v>
      </c>
      <c r="J327" s="1">
        <v>107565</v>
      </c>
    </row>
    <row r="328" spans="1:10" x14ac:dyDescent="0.45">
      <c r="A328" t="s">
        <v>656</v>
      </c>
      <c r="B328" t="s">
        <v>657</v>
      </c>
      <c r="C328" s="1">
        <v>542</v>
      </c>
      <c r="D328" s="1">
        <v>474412.47002398083</v>
      </c>
      <c r="E328" s="1">
        <v>542</v>
      </c>
      <c r="F328" s="1">
        <v>474412.47002398083</v>
      </c>
      <c r="G328" s="1">
        <v>542</v>
      </c>
      <c r="H328" s="1">
        <v>474412.47002398083</v>
      </c>
      <c r="I328" s="1">
        <v>417</v>
      </c>
      <c r="J328" s="1">
        <v>365000</v>
      </c>
    </row>
    <row r="329" spans="1:10" x14ac:dyDescent="0.45">
      <c r="A329" t="s">
        <v>658</v>
      </c>
      <c r="B329" t="s">
        <v>659</v>
      </c>
      <c r="C329" s="1">
        <v>1013</v>
      </c>
      <c r="D329" s="1">
        <v>1188760.1420933129</v>
      </c>
      <c r="E329" s="1">
        <v>1013</v>
      </c>
      <c r="F329" s="1">
        <v>1188760.1420933129</v>
      </c>
      <c r="G329" s="1">
        <v>1013</v>
      </c>
      <c r="H329" s="1">
        <v>1188760.1420933129</v>
      </c>
      <c r="I329" s="1">
        <v>779</v>
      </c>
      <c r="J329" s="1">
        <v>914165</v>
      </c>
    </row>
    <row r="330" spans="1:10" x14ac:dyDescent="0.45">
      <c r="A330" t="s">
        <v>660</v>
      </c>
      <c r="B330" t="s">
        <v>661</v>
      </c>
      <c r="C330" s="1">
        <v>7518</v>
      </c>
      <c r="D330" s="1">
        <v>4241076.0243959473</v>
      </c>
      <c r="E330" s="1">
        <v>7518</v>
      </c>
      <c r="F330" s="1">
        <v>4241076.0243959473</v>
      </c>
      <c r="G330" s="1">
        <v>7518</v>
      </c>
      <c r="H330" s="1">
        <v>4241076.0243959473</v>
      </c>
      <c r="I330" s="1">
        <v>5783</v>
      </c>
      <c r="J330" s="1">
        <v>3262317</v>
      </c>
    </row>
    <row r="331" spans="1:10" x14ac:dyDescent="0.45">
      <c r="A331" t="s">
        <v>662</v>
      </c>
      <c r="B331" t="s">
        <v>663</v>
      </c>
      <c r="C331" s="1">
        <v>217</v>
      </c>
      <c r="D331" s="1">
        <v>184947.67065868262</v>
      </c>
      <c r="E331" s="1">
        <v>217</v>
      </c>
      <c r="F331" s="1">
        <v>184947.67065868262</v>
      </c>
      <c r="G331" s="1">
        <v>217</v>
      </c>
      <c r="H331" s="1">
        <v>184947.67065868262</v>
      </c>
      <c r="I331" s="1">
        <v>167</v>
      </c>
      <c r="J331" s="1">
        <v>142333</v>
      </c>
    </row>
    <row r="332" spans="1:10" x14ac:dyDescent="0.45">
      <c r="A332" t="s">
        <v>664</v>
      </c>
      <c r="B332" t="s">
        <v>665</v>
      </c>
      <c r="C332" s="1">
        <v>433</v>
      </c>
      <c r="D332" s="1">
        <v>486745.31231231231</v>
      </c>
      <c r="E332" s="1">
        <v>433</v>
      </c>
      <c r="F332" s="1">
        <v>486745.31231231231</v>
      </c>
      <c r="G332" s="1">
        <v>433</v>
      </c>
      <c r="H332" s="1">
        <v>486745.31231231231</v>
      </c>
      <c r="I332" s="1">
        <v>333</v>
      </c>
      <c r="J332" s="1">
        <v>374333</v>
      </c>
    </row>
    <row r="333" spans="1:10" x14ac:dyDescent="0.45">
      <c r="A333" t="s">
        <v>666</v>
      </c>
      <c r="B333" t="s">
        <v>667</v>
      </c>
      <c r="C333" s="1">
        <v>347</v>
      </c>
      <c r="D333" s="1">
        <v>208287.07490636705</v>
      </c>
      <c r="E333" s="1">
        <v>347</v>
      </c>
      <c r="F333" s="1">
        <v>208287.07490636705</v>
      </c>
      <c r="G333" s="1">
        <v>347</v>
      </c>
      <c r="H333" s="1">
        <v>208287.07490636705</v>
      </c>
      <c r="I333" s="1">
        <v>267</v>
      </c>
      <c r="J333" s="1">
        <v>160267</v>
      </c>
    </row>
    <row r="334" spans="1:10" x14ac:dyDescent="0.45">
      <c r="A334" t="s">
        <v>668</v>
      </c>
      <c r="B334" t="s">
        <v>669</v>
      </c>
      <c r="C334" s="1">
        <v>737</v>
      </c>
      <c r="D334" s="1">
        <v>627554.85008818342</v>
      </c>
      <c r="E334" s="1">
        <v>737</v>
      </c>
      <c r="F334" s="1">
        <v>627554.85008818342</v>
      </c>
      <c r="G334" s="1">
        <v>737</v>
      </c>
      <c r="H334" s="1">
        <v>627554.85008818342</v>
      </c>
      <c r="I334" s="1">
        <v>567</v>
      </c>
      <c r="J334" s="1">
        <v>482800</v>
      </c>
    </row>
    <row r="335" spans="1:10" x14ac:dyDescent="0.45">
      <c r="A335" t="s">
        <v>670</v>
      </c>
      <c r="B335" t="s">
        <v>671</v>
      </c>
      <c r="C335" s="1">
        <v>1040</v>
      </c>
      <c r="D335" s="1">
        <v>1450800</v>
      </c>
      <c r="E335" s="1">
        <v>1040</v>
      </c>
      <c r="F335" s="1">
        <v>1450800</v>
      </c>
      <c r="G335" s="1">
        <v>1040</v>
      </c>
      <c r="H335" s="1">
        <v>1450800</v>
      </c>
      <c r="I335" s="1">
        <v>800</v>
      </c>
      <c r="J335" s="1">
        <v>1116000</v>
      </c>
    </row>
    <row r="336" spans="1:10" x14ac:dyDescent="0.45">
      <c r="A336" t="s">
        <v>672</v>
      </c>
      <c r="B336" t="s">
        <v>673</v>
      </c>
      <c r="C336" s="1">
        <v>9273</v>
      </c>
      <c r="D336" s="1">
        <v>7813777.1637459695</v>
      </c>
      <c r="E336" s="1">
        <v>9273</v>
      </c>
      <c r="F336" s="1">
        <v>7813777.1637459695</v>
      </c>
      <c r="G336" s="1">
        <v>9273</v>
      </c>
      <c r="H336" s="1">
        <v>7813777.1637459695</v>
      </c>
      <c r="I336" s="1">
        <v>7133</v>
      </c>
      <c r="J336" s="1">
        <v>6010533</v>
      </c>
    </row>
    <row r="337" spans="1:10" x14ac:dyDescent="0.45">
      <c r="A337" t="s">
        <v>674</v>
      </c>
      <c r="B337" t="s">
        <v>675</v>
      </c>
      <c r="C337" s="1">
        <v>1192</v>
      </c>
      <c r="D337" s="1">
        <v>1068835.3326063249</v>
      </c>
      <c r="E337" s="1">
        <v>1192</v>
      </c>
      <c r="F337" s="1">
        <v>1068835.3326063249</v>
      </c>
      <c r="G337" s="1">
        <v>1192</v>
      </c>
      <c r="H337" s="1">
        <v>1068835.3326063249</v>
      </c>
      <c r="I337" s="1">
        <v>917</v>
      </c>
      <c r="J337" s="1">
        <v>822250</v>
      </c>
    </row>
    <row r="338" spans="1:10" x14ac:dyDescent="0.45">
      <c r="A338" t="s">
        <v>676</v>
      </c>
      <c r="B338" t="s">
        <v>677</v>
      </c>
      <c r="C338" s="1">
        <v>498</v>
      </c>
      <c r="D338" s="1">
        <v>531828.89295039163</v>
      </c>
      <c r="E338" s="1">
        <v>498</v>
      </c>
      <c r="F338" s="1">
        <v>531828.89295039163</v>
      </c>
      <c r="G338" s="1">
        <v>498</v>
      </c>
      <c r="H338" s="1">
        <v>531828.89295039163</v>
      </c>
      <c r="I338" s="1">
        <v>383</v>
      </c>
      <c r="J338" s="1">
        <v>409017</v>
      </c>
    </row>
    <row r="339" spans="1:10" x14ac:dyDescent="0.45">
      <c r="A339" t="s">
        <v>678</v>
      </c>
      <c r="B339" t="s">
        <v>679</v>
      </c>
      <c r="C339" s="1">
        <v>607</v>
      </c>
      <c r="D339" s="1">
        <v>395481.94646680943</v>
      </c>
      <c r="E339" s="1">
        <v>607</v>
      </c>
      <c r="F339" s="1">
        <v>395481.94646680943</v>
      </c>
      <c r="G339" s="1">
        <v>607</v>
      </c>
      <c r="H339" s="1">
        <v>395481.94646680943</v>
      </c>
      <c r="I339" s="1">
        <v>467</v>
      </c>
      <c r="J339" s="1">
        <v>304267</v>
      </c>
    </row>
    <row r="340" spans="1:10" x14ac:dyDescent="0.45">
      <c r="A340" t="s">
        <v>680</v>
      </c>
      <c r="B340" t="s">
        <v>681</v>
      </c>
      <c r="C340" s="1">
        <v>438</v>
      </c>
      <c r="D340" s="1">
        <v>380245.08605341247</v>
      </c>
      <c r="E340" s="1">
        <v>438</v>
      </c>
      <c r="F340" s="1">
        <v>380245.08605341247</v>
      </c>
      <c r="G340" s="1">
        <v>438</v>
      </c>
      <c r="H340" s="1">
        <v>380245.08605341247</v>
      </c>
      <c r="I340" s="1">
        <v>337</v>
      </c>
      <c r="J340" s="1">
        <v>292563</v>
      </c>
    </row>
    <row r="341" spans="1:10" x14ac:dyDescent="0.45">
      <c r="A341" t="s">
        <v>682</v>
      </c>
      <c r="B341" t="s">
        <v>683</v>
      </c>
      <c r="C341" s="1">
        <v>4550</v>
      </c>
      <c r="D341" s="1">
        <v>2275000</v>
      </c>
      <c r="E341" s="1">
        <v>4550</v>
      </c>
      <c r="F341" s="1">
        <v>2275000</v>
      </c>
      <c r="G341" s="1">
        <v>4550</v>
      </c>
      <c r="H341" s="1">
        <v>2275000</v>
      </c>
      <c r="I341" s="1">
        <v>3500</v>
      </c>
      <c r="J341" s="1">
        <v>1750000</v>
      </c>
    </row>
    <row r="342" spans="1:10" x14ac:dyDescent="0.45">
      <c r="A342" t="s">
        <v>684</v>
      </c>
      <c r="B342" t="s">
        <v>685</v>
      </c>
      <c r="C342" s="1">
        <v>455</v>
      </c>
      <c r="D342" s="1">
        <v>349895</v>
      </c>
      <c r="E342" s="1">
        <v>455</v>
      </c>
      <c r="F342" s="1">
        <v>349895</v>
      </c>
      <c r="G342" s="1">
        <v>455</v>
      </c>
      <c r="H342" s="1">
        <v>349895</v>
      </c>
      <c r="I342" s="1">
        <v>350</v>
      </c>
      <c r="J342" s="1">
        <v>269150</v>
      </c>
    </row>
    <row r="343" spans="1:10" x14ac:dyDescent="0.45">
      <c r="A343" t="s">
        <v>686</v>
      </c>
      <c r="B343" t="s">
        <v>687</v>
      </c>
      <c r="C343" s="1">
        <v>2340</v>
      </c>
      <c r="D343" s="1">
        <v>2934360</v>
      </c>
      <c r="E343" s="1">
        <v>2340</v>
      </c>
      <c r="F343" s="1">
        <v>2934360</v>
      </c>
      <c r="G343" s="1">
        <v>2340</v>
      </c>
      <c r="H343" s="1">
        <v>2934360</v>
      </c>
      <c r="I343" s="1">
        <v>1800</v>
      </c>
      <c r="J343" s="1">
        <v>2257200</v>
      </c>
    </row>
    <row r="344" spans="1:10" x14ac:dyDescent="0.45">
      <c r="A344" t="s">
        <v>688</v>
      </c>
      <c r="B344" t="s">
        <v>689</v>
      </c>
      <c r="C344" s="1">
        <v>433</v>
      </c>
      <c r="D344" s="1">
        <v>690676.60960960959</v>
      </c>
      <c r="E344" s="1">
        <v>433</v>
      </c>
      <c r="F344" s="1">
        <v>690676.60960960959</v>
      </c>
      <c r="G344" s="1">
        <v>433</v>
      </c>
      <c r="H344" s="1">
        <v>690676.60960960959</v>
      </c>
      <c r="I344" s="1">
        <v>333</v>
      </c>
      <c r="J344" s="1">
        <v>531167</v>
      </c>
    </row>
    <row r="345" spans="1:10" x14ac:dyDescent="0.45">
      <c r="A345" t="s">
        <v>690</v>
      </c>
      <c r="B345" t="s">
        <v>691</v>
      </c>
      <c r="C345" s="1">
        <v>1879</v>
      </c>
      <c r="D345" s="1">
        <v>864538.95294117648</v>
      </c>
      <c r="E345" s="1">
        <v>1879</v>
      </c>
      <c r="F345" s="1">
        <v>864538.95294117648</v>
      </c>
      <c r="G345" s="1">
        <v>1879</v>
      </c>
      <c r="H345" s="1">
        <v>864538.95294117648</v>
      </c>
      <c r="I345" s="1">
        <v>1445</v>
      </c>
      <c r="J345" s="1">
        <v>664853</v>
      </c>
    </row>
    <row r="346" spans="1:10" x14ac:dyDescent="0.45">
      <c r="A346" t="s">
        <v>692</v>
      </c>
      <c r="B346" t="s">
        <v>693</v>
      </c>
      <c r="C346" s="1">
        <v>431</v>
      </c>
      <c r="D346" s="1">
        <v>120831.04531722055</v>
      </c>
      <c r="E346" s="1">
        <v>431</v>
      </c>
      <c r="F346" s="1">
        <v>120831.04531722055</v>
      </c>
      <c r="G346" s="1">
        <v>431</v>
      </c>
      <c r="H346" s="1">
        <v>120831.04531722055</v>
      </c>
      <c r="I346" s="1">
        <v>331</v>
      </c>
      <c r="J346" s="1">
        <v>92796</v>
      </c>
    </row>
    <row r="347" spans="1:10" x14ac:dyDescent="0.45">
      <c r="A347" t="s">
        <v>694</v>
      </c>
      <c r="B347" t="s">
        <v>695</v>
      </c>
      <c r="C347" s="1">
        <v>236</v>
      </c>
      <c r="D347" s="1">
        <v>117783.45054945054</v>
      </c>
      <c r="E347" s="1">
        <v>236</v>
      </c>
      <c r="F347" s="1">
        <v>117783.45054945054</v>
      </c>
      <c r="G347" s="1">
        <v>236</v>
      </c>
      <c r="H347" s="1">
        <v>117783.45054945054</v>
      </c>
      <c r="I347" s="1">
        <v>990</v>
      </c>
      <c r="J347" s="1">
        <v>656666</v>
      </c>
    </row>
    <row r="348" spans="1:10" x14ac:dyDescent="0.45">
      <c r="A348" t="s">
        <v>696</v>
      </c>
      <c r="B348" t="s">
        <v>697</v>
      </c>
      <c r="C348" s="1">
        <v>26570</v>
      </c>
      <c r="D348" s="1">
        <v>7472464.249025777</v>
      </c>
      <c r="E348" s="1">
        <v>26570</v>
      </c>
      <c r="F348" s="1">
        <v>7472464.249025777</v>
      </c>
      <c r="G348" s="1">
        <v>26570</v>
      </c>
      <c r="H348" s="1">
        <v>7472464.249025777</v>
      </c>
      <c r="I348" s="1">
        <v>20438</v>
      </c>
      <c r="J348" s="1">
        <v>5747916</v>
      </c>
    </row>
    <row r="349" spans="1:10" x14ac:dyDescent="0.45">
      <c r="A349" t="s">
        <v>698</v>
      </c>
      <c r="B349" t="s">
        <v>698</v>
      </c>
      <c r="C349" s="1">
        <v>0</v>
      </c>
      <c r="D349" s="1"/>
      <c r="E349" s="1"/>
      <c r="F349" s="1"/>
      <c r="G349" s="1"/>
      <c r="H349" s="1"/>
      <c r="I349" s="1"/>
      <c r="J349" s="1"/>
    </row>
    <row r="350" spans="1:10" x14ac:dyDescent="0.45">
      <c r="A350" t="s">
        <v>699</v>
      </c>
      <c r="B350" t="s">
        <v>700</v>
      </c>
      <c r="C350" s="1">
        <v>30000</v>
      </c>
      <c r="D350" s="1">
        <v>14250000</v>
      </c>
      <c r="E350" s="1">
        <v>30000</v>
      </c>
      <c r="F350" s="1">
        <v>14220000</v>
      </c>
      <c r="G350" s="1">
        <v>30000</v>
      </c>
      <c r="H350" s="1">
        <v>14250000</v>
      </c>
      <c r="I350" s="1"/>
      <c r="J35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3B7088C055B14AA429351D4C978A0D" ma:contentTypeVersion="10" ma:contentTypeDescription="Crear nuevo documento." ma:contentTypeScope="" ma:versionID="c4ce6dbc253c90574e2d39ffa8c5895b">
  <xsd:schema xmlns:xsd="http://www.w3.org/2001/XMLSchema" xmlns:xs="http://www.w3.org/2001/XMLSchema" xmlns:p="http://schemas.microsoft.com/office/2006/metadata/properties" xmlns:ns2="ab766e09-0579-4081-85d5-463fe77a198f" xmlns:ns3="95862b41-6448-4fec-ae53-3de6b533ef28" targetNamespace="http://schemas.microsoft.com/office/2006/metadata/properties" ma:root="true" ma:fieldsID="c8f1deaff546177af8ea4d0d4db03c52" ns2:_="" ns3:_="">
    <xsd:import namespace="ab766e09-0579-4081-85d5-463fe77a198f"/>
    <xsd:import namespace="95862b41-6448-4fec-ae53-3de6b533e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66e09-0579-4081-85d5-463fe77a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8323805c-f72c-4368-b9ff-0d5238deb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62b41-6448-4fec-ae53-3de6b533ef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e2123e2-34da-4268-b59c-6fcc647c6b60}" ma:internalName="TaxCatchAll" ma:showField="CatchAllData" ma:web="95862b41-6448-4fec-ae53-3de6b533e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862b41-6448-4fec-ae53-3de6b533ef28" xsi:nil="true"/>
    <lcf76f155ced4ddcb4097134ff3c332f xmlns="ab766e09-0579-4081-85d5-463fe77a1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52D3A-6684-4149-99B6-8089C65D4536}"/>
</file>

<file path=customXml/itemProps2.xml><?xml version="1.0" encoding="utf-8"?>
<ds:datastoreItem xmlns:ds="http://schemas.openxmlformats.org/officeDocument/2006/customXml" ds:itemID="{5DF3FDFB-1924-47B9-A061-687D2D068C25}"/>
</file>

<file path=customXml/itemProps3.xml><?xml version="1.0" encoding="utf-8"?>
<ds:datastoreItem xmlns:ds="http://schemas.openxmlformats.org/officeDocument/2006/customXml" ds:itemID="{EB9D162B-7386-4F11-A1FE-8B2CFA33E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JUL-SEPT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Romero</dc:creator>
  <cp:lastModifiedBy>Paula Romero</cp:lastModifiedBy>
  <dcterms:created xsi:type="dcterms:W3CDTF">2026-06-01T18:50:05Z</dcterms:created>
  <dcterms:modified xsi:type="dcterms:W3CDTF">2026-06-01T18:51:32Z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0x0101003F3B7088C055B14AA429351D4C978A0D</vt:lpwstr>
  </property>
</Properties>
</file>